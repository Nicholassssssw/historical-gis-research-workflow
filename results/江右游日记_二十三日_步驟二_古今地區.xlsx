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f64b7bd8e34e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步驟二｜二十三日古今地區對照" sheetId="1" r:id="R2cdb7bb7d5564c0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5"/>
      <x:color rgb="FFFFFFFF"/>
      <x:name val="Carlito"/>
    </x:font>
    <x:font>
      <x:i/>
      <x:sz val="9"/>
      <x:color rgb="FF065F46"/>
      <x:name val="Carlito"/>
    </x:font>
    <x:font>
      <x:sz val="10"/>
      <x:color rgb="FF78350F"/>
      <x:name val="Carlito"/>
    </x:font>
    <x:font>
      <x:b/>
      <x:sz val="10"/>
      <x:color rgb="FF92400E"/>
      <x:name val="Carlito"/>
    </x:font>
    <x:font>
      <x:b/>
      <x:sz val="10"/>
      <x:color rgb="FFFFFFFF"/>
      <x:name val="Carlito"/>
    </x:font>
    <x:font>
      <x:sz val="9"/>
      <x:color rgb="FF172033"/>
      <x:name val="Carlito"/>
    </x:font>
    <x:font>
      <x:sz val="8"/>
      <x:color rgb="FF334155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ECFDF5"/>
      </x:patternFill>
    </x:fill>
    <x:fill>
      <x:patternFill patternType="solid">
        <x:fgColor rgb="FFFFFBEB"/>
      </x:patternFill>
    </x:fill>
    <x:fill>
      <x:patternFill patternType="solid">
        <x:fgColor rgb="FFFEF3C7"/>
      </x:patternFill>
    </x:fill>
  </x:fills>
  <x:borders count="2">
    <x:border/>
    <x:border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left"/>
    </x:xf>
    <x:xf numFmtId="0" fontId="4" fillId="5" borderId="0" xfId="0" applyNumberFormat="1" applyFont="1" applyFill="1" applyBorder="1" applyAlignment="1">
      <x:alignment horizontal="left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1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5a961f08ce49d7" /><Relationship Type="http://schemas.openxmlformats.org/officeDocument/2006/relationships/theme" Target="/xl/theme/theme1.xml" Id="R8c440eae3d5345cf" /><Relationship Type="http://schemas.openxmlformats.org/officeDocument/2006/relationships/sharedStrings" Target="/xl/sharedStrings.xml" Id="R4c77045862754015" /><Relationship Type="http://schemas.openxmlformats.org/officeDocument/2006/relationships/worksheet" Target="/xl/worksheets/sheet1.xml" Id="R2cdb7bb7d5564c05" /></Relationships>
</file>

<file path=xl/tables/table1.xml><?xml version="1.0" encoding="utf-8"?>
<x:table xmlns:x="http://schemas.openxmlformats.org/spreadsheetml/2006/main" id="1" name="Day23Step2AncientModern" displayName="Day23Step2AncientModern" ref="A7:S32" headerRowCount="1" totalsRowCount="0" totalsRowShown="0">
  <x:autoFilter ref="A7:S32"/>
  <x:tableColumns count="19">
    <x:tableColumn id="1" name="行程序號"/>
    <x:tableColumn id="2" name="日期"/>
    <x:tableColumn id="3" name="古代地名（原文）"/>
    <x:tableColumn id="4" name="地物類型"/>
    <x:tableColumn id="5" name="承宣布政使司"/>
    <x:tableColumn id="6" name="府（直隸州）"/>
    <x:tableColumn id="7" name="州"/>
    <x:tableColumn id="8" name="縣"/>
    <x:tableColumn id="9" name="現代省級"/>
    <x:tableColumn id="10" name="現代地級"/>
    <x:tableColumn id="11" name="現代縣級"/>
    <x:tableColumn id="12" name="現代地名"/>
    <x:tableColumn id="13" name="古今關係"/>
    <x:tableColumn id="14" name="配對狀態"/>
    <x:tableColumn id="15" name="古代隸屬狀態"/>
    <x:tableColumn id="16" name="判斷說明"/>
    <x:tableColumn id="17" name="原文"/>
    <x:tableColumn id="18" name="明代行政來源"/>
    <x:tableColumn id="19" name="現代行政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9b5edb455bf438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779999732971191" hidden="0" customWidth="1"/>
    <x:col min="2" max="2" width="13.890000343322754" hidden="0" customWidth="1"/>
    <x:col min="3" max="3" width="28.889999389648438" hidden="0" customWidth="1"/>
    <x:col min="4" max="4" width="16.110000610351562" hidden="0" customWidth="1"/>
    <x:col min="5" max="5" width="16.110000610351562" hidden="0" customWidth="1"/>
    <x:col min="6" max="6" width="13.890000343322754" hidden="0" customWidth="1"/>
    <x:col min="7" max="7" width="13.890000343322754" hidden="0" customWidth="1"/>
    <x:col min="8" max="8" width="13.890000343322754" hidden="0" customWidth="1"/>
    <x:col min="9" max="9" width="13.890000343322754" hidden="0" customWidth="1"/>
    <x:col min="10" max="10" width="16.110000610351562" hidden="0" customWidth="1"/>
    <x:col min="11" max="11" width="13.890000343322754" hidden="0" customWidth="1"/>
    <x:col min="12" max="12" width="13.890000343322754" hidden="0" customWidth="1"/>
    <x:col min="13" max="13" width="16.110000610351562" hidden="0" customWidth="1"/>
    <x:col min="14" max="14" width="13.890000343322754" hidden="0" customWidth="1"/>
    <x:col min="15" max="15" width="13.890000343322754" hidden="0" customWidth="1"/>
    <x:col min="16" max="16" width="28.889999389648438" hidden="0" customWidth="1"/>
    <x:col min="17" max="17" width="28.889999389648438" hidden="0" customWidth="1"/>
    <x:col min="18" max="18" width="28.889999389648438" hidden="0" customWidth="1"/>
    <x:col min="19" max="19" width="28.889999389648438" hidden="0" customWidth="1"/>
  </x:cols>
  <x:sheetData>
    <x:row r="1" ht="25.5" customHeight="1">
      <x:c r="A1" s="4" t="str">
        <x:v>步驟二｜二十三日古今地區對照｜來源：古今地區對照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25.5" customHeight="1">
      <x:c r="A2" s="8" t="str">
        <x:f>"篩選結果｜"&amp;COUNTA(A8:A32)&amp;" 筆｜"&amp;"來源表：古今地區對照；只含二十三日"</x:f>
        <x:v>篩選結果｜25 筆｜來源表：古今地區對照；只含二十三日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</x:row>
    <x:row r="3" ht="40.5" customHeight="1">
      <x:c r="A3" s="12" t="str">
        <x:v>只保留「古今地區對照」中日期含「二十三日」的資料；欄位與原表一致。</x:v>
      </x:c>
      <x:c r="B3" s="12"/>
      <x:c r="C3" s="12"/>
      <x:c r="D3" s="12"/>
      <x:c r="E3" s="12"/>
      <x:c r="F3" s="12"/>
      <x:c r="G3" s="12"/>
      <x:c r="H3" s="12"/>
      <x:c r="I3" s="12"/>
      <x:c r="J3" s="12"/>
      <x:c r="K3" s="12"/>
      <x:c r="L3" s="12"/>
      <x:c r="M3" s="12"/>
      <x:c r="N3" s="12"/>
      <x:c r="O3" s="12"/>
      <x:c r="P3" s="12"/>
      <x:c r="Q3" s="12"/>
      <x:c r="R3" s="12"/>
      <x:c r="S3" s="12"/>
    </x:row>
    <x:row r="4" ht="18.75" customHeight="1">
      <x:c r="A4" s="16" t="str">
        <x:v>Prompt｜本步驟獨立操作指令</x:v>
      </x:c>
      <x:c r="B4" s="16"/>
      <x:c r="C4" s="16"/>
      <x:c r="D4" s="16"/>
      <x:c r="E4" s="16"/>
      <x:c r="F4" s="16"/>
      <x:c r="G4" s="16"/>
      <x:c r="H4" s="16"/>
      <x:c r="I4" s="16"/>
      <x:c r="J4" s="16"/>
      <x:c r="K4" s="16"/>
      <x:c r="L4" s="16"/>
      <x:c r="M4" s="16"/>
      <x:c r="N4" s="16"/>
      <x:c r="O4" s="16"/>
      <x:c r="P4" s="16"/>
      <x:c r="Q4" s="16"/>
      <x:c r="R4" s="16"/>
      <x:c r="S4" s="16"/>
    </x:row>
    <x:row r="5" ht="75" customHeight="1">
      <x:c r="A5" s="12" t="str">
        <x:v>請把二十三日的每筆經過地點配對到 1636 年古代行政層級：承宣布政使司→府（直隸州）→州→縣，再配對現代省級、地級、縣級。保留古今關係、配對狀態、來源及衝突；現代同名不得單獨視為同一地點。</x:v>
      </x:c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2"/>
    </x:row>
    <x:row r="7" ht="34.5" customHeight="1">
      <x:c r="A7" s="20" t="str">
        <x:v>行程序號</x:v>
      </x:c>
      <x:c r="B7" s="20" t="str">
        <x:v>日期</x:v>
      </x:c>
      <x:c r="C7" s="20" t="str">
        <x:v>古代地名（原文）</x:v>
      </x:c>
      <x:c r="D7" s="20" t="str">
        <x:v>地物類型</x:v>
      </x:c>
      <x:c r="E7" s="20" t="str">
        <x:v>承宣布政使司</x:v>
      </x:c>
      <x:c r="F7" s="20" t="str">
        <x:v>府（直隸州）</x:v>
      </x:c>
      <x:c r="G7" s="20" t="str">
        <x:v>州</x:v>
      </x:c>
      <x:c r="H7" s="20" t="str">
        <x:v>縣</x:v>
      </x:c>
      <x:c r="I7" s="20" t="str">
        <x:v>現代省級</x:v>
      </x:c>
      <x:c r="J7" s="20" t="str">
        <x:v>現代地級</x:v>
      </x:c>
      <x:c r="K7" s="20" t="str">
        <x:v>現代縣級</x:v>
      </x:c>
      <x:c r="L7" s="20" t="str">
        <x:v>現代地名</x:v>
      </x:c>
      <x:c r="M7" s="20" t="str">
        <x:v>古今關係</x:v>
      </x:c>
      <x:c r="N7" s="20" t="str">
        <x:v>配對狀態</x:v>
      </x:c>
      <x:c r="O7" s="20" t="str">
        <x:v>古代隸屬狀態</x:v>
      </x:c>
      <x:c r="P7" s="20" t="str">
        <x:v>判斷說明</x:v>
      </x:c>
      <x:c r="Q7" s="20" t="str">
        <x:v>原文</x:v>
      </x:c>
      <x:c r="R7" s="20" t="str">
        <x:v>明代行政來源</x:v>
      </x:c>
      <x:c r="S7" s="20" t="str">
        <x:v>現代行政來源</x:v>
      </x:c>
    </x:row>
    <x:row r="8" ht="54" customHeight="1">
      <x:c r="A8" s="25" t="n">
        <x:v>164</x:v>
      </x:c>
      <x:c r="B8" s="25" t="str">
        <x:v>二十三日</x:v>
      </x:c>
      <x:c r="C8" s="27" t="str">
        <x:v>贵溪城</x:v>
      </x:c>
      <x:c r="D8" s="25" t="str">
        <x:v>城市／城</x:v>
      </x:c>
      <x:c r="E8" s="25" t="str">
        <x:v>江西等處承宣布政使司</x:v>
      </x:c>
      <x:c r="F8" s="25" t="str">
        <x:v>廣信府</x:v>
      </x:c>
      <x:c r="G8" s="25"/>
      <x:c r="H8" s="25" t="str">
        <x:v>貴溪縣</x:v>
      </x:c>
      <x:c r="I8" s="25" t="str">
        <x:v>江西省</x:v>
      </x:c>
      <x:c r="J8" s="25" t="str">
        <x:v>鷹潭市</x:v>
      </x:c>
      <x:c r="K8" s="25" t="str">
        <x:v>貴溪市</x:v>
      </x:c>
      <x:c r="L8" s="25" t="str">
        <x:v>貴溪市城區</x:v>
      </x:c>
      <x:c r="M8" s="25" t="str">
        <x:v>古縣城／今市區</x:v>
      </x:c>
      <x:c r="N8" s="25" t="str">
        <x:v>confirmed</x:v>
      </x:c>
      <x:c r="O8" s="25" t="str">
        <x:v>confirmed</x:v>
      </x:c>
      <x:c r="P8" s="27" t="str">
        <x:v>行政地名按CHGIS 1636年沿革及其現代位置欄配對。</x:v>
      </x:c>
      <x:c r="Q8" s="27" t="str">
        <x:v>晨起，渡大溪之北，复西向行，八里，将至贵溪城，忽见溪南一桥门架空，以为城门与卷梁皆无此高跨之理。</x:v>
      </x:c>
      <x:c r="R8" s="25" t="str">
        <x:v>https://chgis.hudci.org/tgaz/placename/hvd_41204</x:v>
      </x:c>
      <x:c r="S8" s="25" t="str">
        <x:v>https://zjj.ganzhou.gov.cn/attachment/cmsfile/59617910d5353fbf94a7cb7161d1e1b3b4247.pdf</x:v>
      </x:c>
    </x:row>
    <x:row r="9" ht="54" customHeight="1">
      <x:c r="A9" s="25" t="n">
        <x:v>185</x:v>
      </x:c>
      <x:c r="B9" s="25" t="str">
        <x:v>二十三日</x:v>
      </x:c>
      <x:c r="C9" s="27" t="str">
        <x:v>张真人墓</x:v>
      </x:c>
      <x:c r="D9" s="25" t="str">
        <x:v>墓葬／陵墓</x:v>
      </x:c>
      <x:c r="E9" s="25" t="str">
        <x:v>江西等處承宣布政使司</x:v>
      </x:c>
      <x:c r="F9" s="25" t="str">
        <x:v>廣信府</x:v>
      </x:c>
      <x:c r="G9" s="25"/>
      <x:c r="H9" s="25" t="str">
        <x:v>貴溪縣</x:v>
      </x:c>
      <x:c r="I9" s="25" t="str">
        <x:v>江西省</x:v>
      </x:c>
      <x:c r="J9" s="25" t="str">
        <x:v>鷹潭市</x:v>
      </x:c>
      <x:c r="K9" s="25" t="str">
        <x:v>貴溪市</x:v>
      </x:c>
      <x:c r="L9" s="25" t="str">
        <x:v>待考</x:v>
      </x:c>
      <x:c r="M9" s="25" t="str">
        <x:v>僅確定至現代縣級</x:v>
      </x:c>
      <x:c r="N9" s="25" t="str">
        <x:v>review</x:v>
      </x:c>
      <x:c r="O9" s="25" t="str">
        <x:v>confirmed</x:v>
      </x:c>
      <x:c r="P9" s="27" t="str">
        <x:v>張真人墓為貴溪市境內墓葬，無可靠唯一對應現代名稱，可能為當地文物點，需實地考證。</x:v>
      </x:c>
      <x:c r="Q9" s="27" t="str">
        <x:v>于是南经张真人墓。</x:v>
      </x:c>
      <x:c r="R9" s="25" t="str">
        <x:v>https://chgis.hudci.org/tgaz/placename/hvd_41204</x:v>
      </x:c>
      <x:c r="S9" s="25" t="str">
        <x:v>https://zjj.ganzhou.gov.cn/attachment/cmsfile/59617910d5353fbf94a7cb7161d1e1b3b4247.pdf</x:v>
      </x:c>
    </x:row>
    <x:row r="10" ht="54" customHeight="1">
      <x:c r="A10" s="25" t="n">
        <x:v>186</x:v>
      </x:c>
      <x:c r="B10" s="25" t="str">
        <x:v>二十三日</x:v>
      </x:c>
      <x:c r="C10" s="27" t="str">
        <x:v>五面峰</x:v>
      </x:c>
      <x:c r="D10" s="25" t="str">
        <x:v>山峰</x:v>
      </x:c>
      <x:c r="E10" s="25" t="str">
        <x:v>江西等處承宣布政使司</x:v>
      </x:c>
      <x:c r="F10" s="25" t="str">
        <x:v>廣信府</x:v>
      </x:c>
      <x:c r="G10" s="25"/>
      <x:c r="H10" s="25" t="str">
        <x:v>貴溪縣</x:v>
      </x:c>
      <x:c r="I10" s="25" t="str">
        <x:v>江西省</x:v>
      </x:c>
      <x:c r="J10" s="25" t="str">
        <x:v>鷹潭市</x:v>
      </x:c>
      <x:c r="K10" s="25" t="str">
        <x:v>貴溪市</x:v>
      </x:c>
      <x:c r="L10" s="25" t="str">
        <x:v>五面峰</x:v>
      </x:c>
      <x:c r="M10" s="25" t="str">
        <x:v>同名沿用</x:v>
      </x:c>
      <x:c r="N10" s="25" t="str">
        <x:v>probable</x:v>
      </x:c>
      <x:c r="O10" s="25" t="str">
        <x:v>confirmed</x:v>
      </x:c>
      <x:c r="P10" s="27" t="str">
        <x:v>五面峰在貴溪市境內，為龍虎山景區山峰，古今名稱一致，但僅憑名稱沿用推斷，故列probable。</x:v>
      </x:c>
      <x:c r="Q10" s="27" t="str">
        <x:v>溪流直逼五面峰下。</x:v>
      </x:c>
      <x:c r="R10" s="25" t="str">
        <x:v>https://chgis.hudci.org/tgaz/placename/hvd_41204</x:v>
      </x:c>
      <x:c r="S10" s="25" t="str">
        <x:v>https://zjj.ganzhou.gov.cn/attachment/cmsfile/59617910d5353fbf94a7cb7161d1e1b3b4247.pdf</x:v>
      </x:c>
    </x:row>
    <x:row r="11" ht="54" customHeight="1">
      <x:c r="A11" s="25" t="n">
        <x:v>190</x:v>
      </x:c>
      <x:c r="B11" s="25" t="str">
        <x:v>二十三日</x:v>
      </x:c>
      <x:c r="C11" s="27" t="str">
        <x:v>一线天</x:v>
      </x:c>
      <x:c r="D11" s="25" t="str">
        <x:v>峽谷</x:v>
      </x:c>
      <x:c r="E11" s="25" t="str">
        <x:v>江西等處承宣布政使司</x:v>
      </x:c>
      <x:c r="F11" s="25" t="str">
        <x:v>廣信府</x:v>
      </x:c>
      <x:c r="G11" s="25"/>
      <x:c r="H11" s="25" t="str">
        <x:v>貴溪縣</x:v>
      </x:c>
      <x:c r="I11" s="25" t="str">
        <x:v>江西省</x:v>
      </x:c>
      <x:c r="J11" s="25" t="str">
        <x:v>鷹潭市</x:v>
      </x:c>
      <x:c r="K11" s="25" t="str">
        <x:v>貴溪市</x:v>
      </x:c>
      <x:c r="L11" s="25" t="str">
        <x:v>一線天</x:v>
      </x:c>
      <x:c r="M11" s="25" t="str">
        <x:v>同名沿用</x:v>
      </x:c>
      <x:c r="N11" s="25" t="str">
        <x:v>probable</x:v>
      </x:c>
      <x:c r="O11" s="25" t="str">
        <x:v>confirmed</x:v>
      </x:c>
      <x:c r="P11" s="27" t="str">
        <x:v>一線天在貴溪市境內，為龍虎山景區著名峽谷，古今名稱一致，但僅憑名稱沿用推斷，故列probable。</x:v>
      </x:c>
      <x:c r="Q11" s="27" t="str">
        <x:v>余意南下者为一线天，西上者为五面峰也。</x:v>
      </x:c>
      <x:c r="R11" s="25" t="str">
        <x:v>https://chgis.hudci.org/tgaz/placename/hvd_41204</x:v>
      </x:c>
      <x:c r="S11" s="25" t="str">
        <x:v>https://zjj.ganzhou.gov.cn/attachment/cmsfile/59617910d5353fbf94a7cb7161d1e1b3b4247.pdf</x:v>
      </x:c>
    </x:row>
    <x:row r="12" ht="54" customHeight="1">
      <x:c r="A12" s="25" t="n">
        <x:v>191</x:v>
      </x:c>
      <x:c r="B12" s="25" t="str">
        <x:v>二十三日</x:v>
      </x:c>
      <x:c r="C12" s="27" t="str">
        <x:v>五面峰</x:v>
      </x:c>
      <x:c r="D12" s="25" t="str">
        <x:v>山峰</x:v>
      </x:c>
      <x:c r="E12" s="25" t="str">
        <x:v>江西等處承宣布政使司</x:v>
      </x:c>
      <x:c r="F12" s="25" t="str">
        <x:v>廣信府</x:v>
      </x:c>
      <x:c r="G12" s="25"/>
      <x:c r="H12" s="25" t="str">
        <x:v>貴溪縣</x:v>
      </x:c>
      <x:c r="I12" s="25" t="str">
        <x:v>江西省</x:v>
      </x:c>
      <x:c r="J12" s="25" t="str">
        <x:v>鷹潭市</x:v>
      </x:c>
      <x:c r="K12" s="25" t="str">
        <x:v>貴溪市</x:v>
      </x:c>
      <x:c r="L12" s="25" t="str">
        <x:v>五面峰</x:v>
      </x:c>
      <x:c r="M12" s="25" t="str">
        <x:v>同名沿用</x:v>
      </x:c>
      <x:c r="N12" s="25" t="str">
        <x:v>probable</x:v>
      </x:c>
      <x:c r="O12" s="25" t="str">
        <x:v>confirmed</x:v>
      </x:c>
      <x:c r="P12" s="27" t="str">
        <x:v>五面峰在貴溪市境內，為龍虎山景區山峰，古今名稱一致，但僅憑名稱沿用推斷，故列probable。</x:v>
      </x:c>
      <x:c r="Q12" s="27" t="str">
        <x:v>余意南下者为一线天，西上者为五面峰也。</x:v>
      </x:c>
      <x:c r="R12" s="25" t="str">
        <x:v>https://chgis.hudci.org/tgaz/placename/hvd_41204</x:v>
      </x:c>
      <x:c r="S12" s="25" t="str">
        <x:v>https://zjj.ganzhou.gov.cn/attachment/cmsfile/59617910d5353fbf94a7cb7161d1e1b3b4247.pdf</x:v>
      </x:c>
    </x:row>
    <x:row r="13" ht="54" customHeight="1">
      <x:c r="A13" s="25" t="n">
        <x:v>192</x:v>
      </x:c>
      <x:c r="B13" s="25" t="str">
        <x:v>二十三日</x:v>
      </x:c>
      <x:c r="C13" s="27" t="str">
        <x:v>西华</x:v>
      </x:c>
      <x:c r="D13" s="25" t="str">
        <x:v>山岳</x:v>
      </x:c>
      <x:c r="E13" s="25" t="str">
        <x:v>江西等處承宣布政使司</x:v>
      </x:c>
      <x:c r="F13" s="25" t="str">
        <x:v>廣信府</x:v>
      </x:c>
      <x:c r="G13" s="25"/>
      <x:c r="H13" s="25" t="str">
        <x:v>貴溪縣</x:v>
      </x:c>
      <x:c r="I13" s="25" t="str">
        <x:v>江西省</x:v>
      </x:c>
      <x:c r="J13" s="25" t="str">
        <x:v>鷹潭市</x:v>
      </x:c>
      <x:c r="K13" s="25" t="str">
        <x:v>貴溪市</x:v>
      </x:c>
      <x:c r="L13" s="25" t="str">
        <x:v>西華山</x:v>
      </x:c>
      <x:c r="M13" s="25" t="str">
        <x:v>同名沿用</x:v>
      </x:c>
      <x:c r="N13" s="25" t="str">
        <x:v>probable</x:v>
      </x:c>
      <x:c r="O13" s="25" t="str">
        <x:v>confirmed</x:v>
      </x:c>
      <x:c r="P13" s="27" t="str">
        <x:v>西華在貴溪市境內，即西華山，為龍虎山景區山岳，古今名稱一致，但僅憑名稱沿用推斷，故列probable。</x:v>
      </x:c>
      <x:c r="Q13" s="27" t="str">
        <x:v>先跻峰，攀磴里许而至绝顶，则南瞰西华，东瞰夹壁，西瞰南溪，北瞰城邑，皆在指顾。</x:v>
      </x:c>
      <x:c r="R13" s="25" t="str">
        <x:v>https://chgis.hudci.org/tgaz/placename/hvd_41204</x:v>
      </x:c>
      <x:c r="S13" s="25" t="str">
        <x:v>https://zjj.ganzhou.gov.cn/attachment/cmsfile/59617910d5353fbf94a7cb7161d1e1b3b4247.pdf</x:v>
      </x:c>
    </x:row>
    <x:row r="14" ht="54" customHeight="1">
      <x:c r="A14" s="25" t="n">
        <x:v>195</x:v>
      </x:c>
      <x:c r="B14" s="25" t="str">
        <x:v>二十三日</x:v>
      </x:c>
      <x:c r="C14" s="27" t="str">
        <x:v>一线天</x:v>
      </x:c>
      <x:c r="D14" s="25" t="str">
        <x:v>峽谷</x:v>
      </x:c>
      <x:c r="E14" s="25" t="str">
        <x:v>江西等處承宣布政使司</x:v>
      </x:c>
      <x:c r="F14" s="25" t="str">
        <x:v>廣信府</x:v>
      </x:c>
      <x:c r="G14" s="25"/>
      <x:c r="H14" s="25" t="str">
        <x:v>貴溪縣</x:v>
      </x:c>
      <x:c r="I14" s="25" t="str">
        <x:v>江西省</x:v>
      </x:c>
      <x:c r="J14" s="25" t="str">
        <x:v>鷹潭市</x:v>
      </x:c>
      <x:c r="K14" s="25" t="str">
        <x:v>貴溪市</x:v>
      </x:c>
      <x:c r="L14" s="25" t="str">
        <x:v>一線天</x:v>
      </x:c>
      <x:c r="M14" s="25" t="str">
        <x:v>同名沿用</x:v>
      </x:c>
      <x:c r="N14" s="25" t="str">
        <x:v>probable</x:v>
      </x:c>
      <x:c r="O14" s="25" t="str">
        <x:v>confirmed</x:v>
      </x:c>
      <x:c r="P14" s="27" t="str">
        <x:v>一線天在貴溪市境內，為龍虎山景區著名峽谷，古今名稱一致，但僅憑名稱沿用推斷，故列probable。</x:v>
      </x:c>
      <x:c r="Q14" s="27" t="str">
        <x:v>复从前磴南下一线天，则两崖并夹而上，直南即从峰顶下剖者，是为直峡。</x:v>
      </x:c>
      <x:c r="R14" s="25" t="str">
        <x:v>https://chgis.hudci.org/tgaz/placename/hvd_41204</x:v>
      </x:c>
      <x:c r="S14" s="25" t="str">
        <x:v>https://zjj.ganzhou.gov.cn/attachment/cmsfile/59617910d5353fbf94a7cb7161d1e1b3b4247.pdf</x:v>
      </x:c>
    </x:row>
    <x:row r="15" ht="54" customHeight="1">
      <x:c r="A15" s="25" t="n">
        <x:v>196</x:v>
      </x:c>
      <x:c r="B15" s="25" t="str">
        <x:v>二十三日</x:v>
      </x:c>
      <x:c r="C15" s="27" t="str">
        <x:v>西华</x:v>
      </x:c>
      <x:c r="D15" s="25" t="str">
        <x:v>山岳</x:v>
      </x:c>
      <x:c r="E15" s="25" t="str">
        <x:v>江西等處承宣布政使司</x:v>
      </x:c>
      <x:c r="F15" s="25" t="str">
        <x:v>廣信府</x:v>
      </x:c>
      <x:c r="G15" s="25"/>
      <x:c r="H15" s="25" t="str">
        <x:v>貴溪縣</x:v>
      </x:c>
      <x:c r="I15" s="25" t="str">
        <x:v>江西省</x:v>
      </x:c>
      <x:c r="J15" s="25" t="str">
        <x:v>鷹潭市</x:v>
      </x:c>
      <x:c r="K15" s="25" t="str">
        <x:v>貴溪市</x:v>
      </x:c>
      <x:c r="L15" s="25" t="str">
        <x:v>西華山</x:v>
      </x:c>
      <x:c r="M15" s="25" t="str">
        <x:v>同名沿用</x:v>
      </x:c>
      <x:c r="N15" s="25" t="str">
        <x:v>probable</x:v>
      </x:c>
      <x:c r="O15" s="25" t="str">
        <x:v>confirmed</x:v>
      </x:c>
      <x:c r="P15" s="27" t="str">
        <x:v>西華在貴溪市境內，即西華山，為龍虎山景區山岳，古今名稱一致，但僅憑名稱沿用推斷，故列probable。</x:v>
      </x:c>
      <x:c r="Q15" s="27" t="str">
        <x:v>最南抵西华，以已从五面峰瞰视，遂不复登。</x:v>
      </x:c>
      <x:c r="R15" s="25" t="str">
        <x:v>https://chgis.hudci.org/tgaz/placename/hvd_41204</x:v>
      </x:c>
      <x:c r="S15" s="25" t="str">
        <x:v>https://zjj.ganzhou.gov.cn/attachment/cmsfile/59617910d5353fbf94a7cb7161d1e1b3b4247.pdf</x:v>
      </x:c>
    </x:row>
    <x:row r="16" ht="54" customHeight="1">
      <x:c r="A16" s="25" t="n">
        <x:v>197</x:v>
      </x:c>
      <x:c r="B16" s="25" t="str">
        <x:v>二十三日</x:v>
      </x:c>
      <x:c r="C16" s="27" t="str">
        <x:v>一线天</x:v>
      </x:c>
      <x:c r="D16" s="25" t="str">
        <x:v>峽谷</x:v>
      </x:c>
      <x:c r="E16" s="25" t="str">
        <x:v>江西等處承宣布政使司</x:v>
      </x:c>
      <x:c r="F16" s="25" t="str">
        <x:v>廣信府</x:v>
      </x:c>
      <x:c r="G16" s="25"/>
      <x:c r="H16" s="25" t="str">
        <x:v>貴溪縣</x:v>
      </x:c>
      <x:c r="I16" s="25" t="str">
        <x:v>江西省</x:v>
      </x:c>
      <x:c r="J16" s="25" t="str">
        <x:v>鷹潭市</x:v>
      </x:c>
      <x:c r="K16" s="25" t="str">
        <x:v>貴溪市</x:v>
      </x:c>
      <x:c r="L16" s="25" t="str">
        <x:v>一線天</x:v>
      </x:c>
      <x:c r="M16" s="25" t="str">
        <x:v>同名沿用</x:v>
      </x:c>
      <x:c r="N16" s="25" t="str">
        <x:v>probable</x:v>
      </x:c>
      <x:c r="O16" s="25" t="str">
        <x:v>confirmed</x:v>
      </x:c>
      <x:c r="P16" s="27" t="str">
        <x:v>一線天在貴溪市境內，為龍虎山景區著名峽谷，古今名稱一致，但僅憑名稱沿用推斷，故列probable。</x:v>
      </x:c>
      <x:c r="Q16" s="27" t="str">
        <x:v>仍转出一线天，北逾一岭，二里，转而东，入小隐岩。</x:v>
      </x:c>
      <x:c r="R16" s="25" t="str">
        <x:v>https://chgis.hudci.org/tgaz/placename/hvd_41204</x:v>
      </x:c>
      <x:c r="S16" s="25" t="str">
        <x:v>https://zjj.ganzhou.gov.cn/attachment/cmsfile/59617910d5353fbf94a7cb7161d1e1b3b4247.pdf</x:v>
      </x:c>
    </x:row>
    <x:row r="17" ht="54" customHeight="1">
      <x:c r="A17" s="25" t="n">
        <x:v>198</x:v>
      </x:c>
      <x:c r="B17" s="25" t="str">
        <x:v>二十三日</x:v>
      </x:c>
      <x:c r="C17" s="27" t="str">
        <x:v>小隐岩</x:v>
      </x:c>
      <x:c r="D17" s="25" t="str">
        <x:v>洞穴</x:v>
      </x:c>
      <x:c r="E17" s="25" t="str">
        <x:v>江西等處承宣布政使司</x:v>
      </x:c>
      <x:c r="F17" s="25" t="str">
        <x:v>廣信府</x:v>
      </x:c>
      <x:c r="G17" s="25"/>
      <x:c r="H17" s="25" t="str">
        <x:v>貴溪縣</x:v>
      </x:c>
      <x:c r="I17" s="25" t="str">
        <x:v>江西省</x:v>
      </x:c>
      <x:c r="J17" s="25" t="str">
        <x:v>鷹潭市</x:v>
      </x:c>
      <x:c r="K17" s="25" t="str">
        <x:v>貴溪市</x:v>
      </x:c>
      <x:c r="L17" s="25" t="str">
        <x:v>小隱岩</x:v>
      </x:c>
      <x:c r="M17" s="25" t="str">
        <x:v>同名沿用</x:v>
      </x:c>
      <x:c r="N17" s="25" t="str">
        <x:v>probable</x:v>
      </x:c>
      <x:c r="O17" s="25" t="str">
        <x:v>confirmed</x:v>
      </x:c>
      <x:c r="P17" s="27" t="str">
        <x:v>小隱岩在貴溪市境內，為龍虎山景區洞穴，古今名稱一致，但僅憑名稱沿用推斷，故列probable。</x:v>
      </x:c>
      <x:c r="Q17" s="27" t="str">
        <x:v>仍转出一线天，北逾一岭，二里，转而东，入小隐岩。</x:v>
      </x:c>
      <x:c r="R17" s="25" t="str">
        <x:v>https://chgis.hudci.org/tgaz/placename/hvd_41204</x:v>
      </x:c>
      <x:c r="S17" s="25" t="str">
        <x:v>https://zjj.ganzhou.gov.cn/attachment/cmsfile/59617910d5353fbf94a7cb7161d1e1b3b4247.pdf</x:v>
      </x:c>
    </x:row>
    <x:row r="18" ht="54" customHeight="1">
      <x:c r="A18" s="25" t="n">
        <x:v>203</x:v>
      </x:c>
      <x:c r="B18" s="25" t="str">
        <x:v>二十三日</x:v>
      </x:c>
      <x:c r="C18" s="27" t="str">
        <x:v>罗塘</x:v>
      </x:c>
      <x:c r="D18" s="25" t="str">
        <x:v>聚落</x:v>
      </x:c>
      <x:c r="E18" s="25" t="str">
        <x:v>江西等處承宣布政使司</x:v>
      </x:c>
      <x:c r="F18" s="25" t="str">
        <x:v>廣信府</x:v>
      </x:c>
      <x:c r="G18" s="25"/>
      <x:c r="H18" s="25" t="str">
        <x:v>貴溪縣</x:v>
      </x:c>
      <x:c r="I18" s="25" t="str">
        <x:v>江西省</x:v>
      </x:c>
      <x:c r="J18" s="25" t="str">
        <x:v>鷹潭市</x:v>
      </x:c>
      <x:c r="K18" s="25" t="str">
        <x:v>貴溪市</x:v>
      </x:c>
      <x:c r="L18" s="25" t="str">
        <x:v>待考</x:v>
      </x:c>
      <x:c r="M18" s="25" t="str">
        <x:v>僅確定至現代縣級</x:v>
      </x:c>
      <x:c r="N18" s="25" t="str">
        <x:v>review</x:v>
      </x:c>
      <x:c r="O18" s="25" t="str">
        <x:v>confirmed</x:v>
      </x:c>
      <x:c r="P18" s="27" t="str">
        <x:v>羅塘為貴溪市境內聚落，無可靠唯一對應現代名稱，可能為小村莊或已改名，需實地考證。</x:v>
      </x:c>
      <x:c r="Q18" s="27" t="str">
        <x:v>遂由罗塘之大道，过一岭，始北转入山，竹树深蒨岩石高穹；但为释人架屋叠墙，无复本来面目，且知其非徐岩也。</x:v>
      </x:c>
      <x:c r="R18" s="25" t="str">
        <x:v>https://chgis.hudci.org/tgaz/placename/hvd_41204</x:v>
      </x:c>
      <x:c r="S18" s="25" t="str">
        <x:v>https://zjj.ganzhou.gov.cn/attachment/cmsfile/59617910d5353fbf94a7cb7161d1e1b3b4247.pdf</x:v>
      </x:c>
    </x:row>
    <x:row r="19" ht="54" customHeight="1">
      <x:c r="A19" s="25" t="n">
        <x:v>206</x:v>
      </x:c>
      <x:c r="B19" s="25" t="str">
        <x:v>二十三日</x:v>
      </x:c>
      <x:c r="C19" s="27" t="str">
        <x:v>象山</x:v>
      </x:c>
      <x:c r="D19" s="25" t="str">
        <x:v>山岳</x:v>
      </x:c>
      <x:c r="E19" s="25" t="str">
        <x:v>江西等處承宣布政使司</x:v>
      </x:c>
      <x:c r="F19" s="25" t="str">
        <x:v>廣信府</x:v>
      </x:c>
      <x:c r="G19" s="25"/>
      <x:c r="H19" s="25" t="str">
        <x:v>貴溪縣</x:v>
      </x:c>
      <x:c r="I19" s="25" t="str">
        <x:v>江西省</x:v>
      </x:c>
      <x:c r="J19" s="25" t="str">
        <x:v>鷹潭市</x:v>
      </x:c>
      <x:c r="K19" s="25" t="str">
        <x:v>貴溪市</x:v>
      </x:c>
      <x:c r="L19" s="25" t="str">
        <x:v>象山</x:v>
      </x:c>
      <x:c r="M19" s="25" t="str">
        <x:v>同名沿用</x:v>
      </x:c>
      <x:c r="N19" s="25" t="str">
        <x:v>probable</x:v>
      </x:c>
      <x:c r="O19" s="25" t="str">
        <x:v>confirmed</x:v>
      </x:c>
      <x:c r="P19" s="27" t="str">
        <x:v>象山在貴溪市境內，為龍虎山景區山岳，古今名稱一致，但僅憑名稱沿用推斷，故列probable。</x:v>
      </x:c>
      <x:c r="Q19" s="27" t="str">
        <x:v>从其西二里，将抵象山，问所云徐岩，终不可得。</x:v>
      </x:c>
      <x:c r="R19" s="25" t="str">
        <x:v>https://chgis.hudci.org/tgaz/placename/hvd_41204</x:v>
      </x:c>
      <x:c r="S19" s="25" t="str">
        <x:v>https://zjj.ganzhou.gov.cn/attachment/cmsfile/59617910d5353fbf94a7cb7161d1e1b3b4247.pdf</x:v>
      </x:c>
    </x:row>
    <x:row r="20" ht="54" customHeight="1">
      <x:c r="A20" s="25" t="n">
        <x:v>212</x:v>
      </x:c>
      <x:c r="B20" s="25" t="str">
        <x:v>二十三日</x:v>
      </x:c>
      <x:c r="C20" s="27" t="str">
        <x:v>朝真宫</x:v>
      </x:c>
      <x:c r="D20" s="25" t="str">
        <x:v>寺廟／宮觀</x:v>
      </x:c>
      <x:c r="E20" s="25" t="str">
        <x:v>江西等處承宣布政使司</x:v>
      </x:c>
      <x:c r="F20" s="25" t="str">
        <x:v>廣信府</x:v>
      </x:c>
      <x:c r="G20" s="25"/>
      <x:c r="H20" s="25" t="str">
        <x:v>貴溪縣</x:v>
      </x:c>
      <x:c r="I20" s="25" t="str">
        <x:v>江西省</x:v>
      </x:c>
      <x:c r="J20" s="25" t="str">
        <x:v>鷹潭市</x:v>
      </x:c>
      <x:c r="K20" s="25" t="str">
        <x:v>貴溪市</x:v>
      </x:c>
      <x:c r="L20" s="25" t="str">
        <x:v>待考</x:v>
      </x:c>
      <x:c r="M20" s="25" t="str">
        <x:v>僅確定至現代縣級</x:v>
      </x:c>
      <x:c r="N20" s="25" t="str">
        <x:v>review</x:v>
      </x:c>
      <x:c r="O20" s="25" t="str">
        <x:v>confirmed</x:v>
      </x:c>
      <x:c r="P20" s="27" t="str">
        <x:v>朝真宮為貴溪市境內寺廟，無可靠唯一對應現代名稱，可能為當地道觀或已不存，需實地考證。</x:v>
      </x:c>
      <x:c r="Q20" s="27" t="str">
        <x:v>二僧俱新至托宿，问之，亦不知其为徐岩与否，当即所称朝真宫矣。</x:v>
      </x:c>
      <x:c r="R20" s="25" t="str">
        <x:v>https://chgis.hudci.org/tgaz/placename/hvd_41204</x:v>
      </x:c>
      <x:c r="S20" s="25" t="str">
        <x:v>https://zjj.ganzhou.gov.cn/attachment/cmsfile/59617910d5353fbf94a7cb7161d1e1b3b4247.pdf</x:v>
      </x:c>
    </x:row>
    <x:row r="21" ht="54" customHeight="1">
      <x:c r="A21" s="25" t="n">
        <x:v>213</x:v>
      </x:c>
      <x:c r="B21" s="25" t="str">
        <x:v>二十三日</x:v>
      </x:c>
      <x:c r="C21" s="27" t="str">
        <x:v>象山</x:v>
      </x:c>
      <x:c r="D21" s="25" t="str">
        <x:v>山岳</x:v>
      </x:c>
      <x:c r="E21" s="25" t="str">
        <x:v>江西等處承宣布政使司</x:v>
      </x:c>
      <x:c r="F21" s="25" t="str">
        <x:v>廣信府</x:v>
      </x:c>
      <x:c r="G21" s="25"/>
      <x:c r="H21" s="25" t="str">
        <x:v>貴溪縣</x:v>
      </x:c>
      <x:c r="I21" s="25" t="str">
        <x:v>江西省</x:v>
      </x:c>
      <x:c r="J21" s="25" t="str">
        <x:v>鷹潭市</x:v>
      </x:c>
      <x:c r="K21" s="25" t="str">
        <x:v>貴溪市</x:v>
      </x:c>
      <x:c r="L21" s="25" t="str">
        <x:v>象山</x:v>
      </x:c>
      <x:c r="M21" s="25" t="str">
        <x:v>同名沿用</x:v>
      </x:c>
      <x:c r="N21" s="25" t="str">
        <x:v>probable</x:v>
      </x:c>
      <x:c r="O21" s="25" t="str">
        <x:v>confirmed</x:v>
      </x:c>
      <x:c r="P21" s="27" t="str">
        <x:v>象山在貴溪市境內，為龍虎山景區山岳，古今名稱一致，但僅憑名稱沿用推斷，故列probable。</x:v>
      </x:c>
      <x:c r="Q21" s="27" t="str">
        <x:v>从暗中出，复西而南寻象山，其地虽暗而路可循，两崖前突，中坞不深而峻，当其中有坊峙焉。</x:v>
      </x:c>
      <x:c r="R21" s="25" t="str">
        <x:v>https://chgis.hudci.org/tgaz/placename/hvd_41204</x:v>
      </x:c>
      <x:c r="S21" s="25" t="str">
        <x:v>https://zjj.ganzhou.gov.cn/attachment/cmsfile/59617910d5353fbf94a7cb7161d1e1b3b4247.pdf</x:v>
      </x:c>
    </x:row>
    <x:row r="22" ht="54" customHeight="1">
      <x:c r="A22" s="25" t="n">
        <x:v>620</x:v>
      </x:c>
      <x:c r="B22" s="25" t="str">
        <x:v>二十三日</x:v>
      </x:c>
      <x:c r="C22" s="27" t="str">
        <x:v>曹山</x:v>
      </x:c>
      <x:c r="D22" s="25" t="str">
        <x:v>山岳</x:v>
      </x:c>
      <x:c r="E22" s="25" t="str">
        <x:v>江西等處承宣布政使司</x:v>
      </x:c>
      <x:c r="F22" s="25" t="str">
        <x:v>撫州府</x:v>
      </x:c>
      <x:c r="G22" s="25"/>
      <x:c r="H22" s="25" t="str">
        <x:v>宜黃縣</x:v>
      </x:c>
      <x:c r="I22" s="25" t="str">
        <x:v>江西省</x:v>
      </x:c>
      <x:c r="J22" s="25" t="str">
        <x:v>撫州市</x:v>
      </x:c>
      <x:c r="K22" s="25" t="str">
        <x:v>宜黃縣</x:v>
      </x:c>
      <x:c r="L22" s="25" t="str">
        <x:v>曹山</x:v>
      </x:c>
      <x:c r="M22" s="25" t="str">
        <x:v>同名沿用</x:v>
      </x:c>
      <x:c r="N22" s="25" t="str">
        <x:v>probable</x:v>
      </x:c>
      <x:c r="O22" s="25" t="str">
        <x:v>confirmed</x:v>
      </x:c>
      <x:c r="P22" s="27" t="str">
        <x:v>曹山為山名，名稱較特定，依上下文在宜黃縣，但未提供現代知名山岳證據，故推測為同名沿用。</x:v>
      </x:c>
      <x:c r="Q22" s="27" t="str">
        <x:v>饭而别观心，出曹山，而雨丝丝下。</x:v>
      </x:c>
      <x:c r="R22" s="25" t="str">
        <x:v>https://chgis.hudci.org/tgaz/placename/hvd_41003</x:v>
      </x:c>
      <x:c r="S22" s="25" t="str">
        <x:v>https://zjj.ganzhou.gov.cn/attachment/cmsfile/59617910d5353fbf94a7cb7161d1e1b3b4247.pdf</x:v>
      </x:c>
    </x:row>
    <x:row r="23" ht="54" customHeight="1">
      <x:c r="A23" s="25" t="n">
        <x:v>625</x:v>
      </x:c>
      <x:c r="B23" s="25" t="str">
        <x:v>二十三日</x:v>
      </x:c>
      <x:c r="C23" s="27" t="str">
        <x:v>崇仁</x:v>
      </x:c>
      <x:c r="D23" s="25" t="str">
        <x:v>縣</x:v>
      </x:c>
      <x:c r="E23" s="25" t="str">
        <x:v>江西等處承宣布政使司</x:v>
      </x:c>
      <x:c r="F23" s="25" t="str">
        <x:v>撫州府</x:v>
      </x:c>
      <x:c r="G23" s="25"/>
      <x:c r="H23" s="25" t="str">
        <x:v>崇仁縣</x:v>
      </x:c>
      <x:c r="I23" s="25" t="str">
        <x:v>江西省</x:v>
      </x:c>
      <x:c r="J23" s="25" t="str">
        <x:v>撫州市</x:v>
      </x:c>
      <x:c r="K23" s="25" t="str">
        <x:v>崇仁縣</x:v>
      </x:c>
      <x:c r="L23" s="25" t="str">
        <x:v>崇仁縣</x:v>
      </x:c>
      <x:c r="M23" s="25" t="str">
        <x:v>同名沿用</x:v>
      </x:c>
      <x:c r="N23" s="25" t="str">
        <x:v>probable</x:v>
      </x:c>
      <x:c r="O23" s="25" t="str">
        <x:v>review</x:v>
      </x:c>
      <x:c r="P23" s="27" t="str">
        <x:v>行政地名按CHGIS 1636年沿革及其現代位置欄配對。</x:v>
      </x:c>
      <x:c r="Q23" s="27" t="str">
        <x:v>盖溪自曹山后岭北山峡而来，南下而转至鹏风桥者，此流尚细，而宜黄、崇仁之界，因逾接龙桥而西，即为崇之东南境。</x:v>
      </x:c>
      <x:c r="R23" s="25" t="str">
        <x:v>https://chgis.hudci.org/tgaz/placename/hvd_40999</x:v>
      </x:c>
      <x:c r="S23" s="25" t="str">
        <x:v>https://zjj.ganzhou.gov.cn/attachment/cmsfile/59617910d5353fbf94a7cb7161d1e1b3b4247.pdf</x:v>
      </x:c>
    </x:row>
    <x:row r="24" ht="54" customHeight="1">
      <x:c r="A24" s="25" t="n">
        <x:v>626</x:v>
      </x:c>
      <x:c r="B24" s="25" t="str">
        <x:v>二十三日</x:v>
      </x:c>
      <x:c r="C24" s="27" t="str">
        <x:v>大霍岭</x:v>
      </x:c>
      <x:c r="D24" s="25" t="str">
        <x:v>山岳</x:v>
      </x:c>
      <x:c r="E24" s="25" t="str">
        <x:v>江西等處承宣布政使司</x:v>
      </x:c>
      <x:c r="F24" s="25" t="str">
        <x:v>撫州府</x:v>
      </x:c>
      <x:c r="G24" s="25"/>
      <x:c r="H24" s="25" t="str">
        <x:v>崇仁縣</x:v>
      </x:c>
      <x:c r="I24" s="25" t="str">
        <x:v>江西省</x:v>
      </x:c>
      <x:c r="J24" s="25" t="str">
        <x:v>撫州市</x:v>
      </x:c>
      <x:c r="K24" s="25" t="str">
        <x:v>崇仁縣</x:v>
      </x:c>
      <x:c r="L24" s="25" t="str">
        <x:v>大霍岭</x:v>
      </x:c>
      <x:c r="M24" s="25" t="str">
        <x:v>同名沿用</x:v>
      </x:c>
      <x:c r="N24" s="25" t="str">
        <x:v>probable</x:v>
      </x:c>
      <x:c r="O24" s="25" t="str">
        <x:v>confirmed</x:v>
      </x:c>
      <x:c r="P24" s="27" t="str">
        <x:v>大霍岭為山嶺名，名稱較特定，依上下文在崇仁縣，但未提供現代唯一對應證據，故推測為同名沿用。</x:v>
      </x:c>
      <x:c r="Q24" s="27" t="str">
        <x:v>从此入山共三里，逾大霍岭，直逼龙骨山下。</x:v>
      </x:c>
      <x:c r="R24" s="25" t="str">
        <x:v>https://chgis.hudci.org/tgaz/placename/hvd_40999</x:v>
      </x:c>
      <x:c r="S24" s="25" t="str">
        <x:v>https://zjj.ganzhou.gov.cn/attachment/cmsfile/59617910d5353fbf94a7cb7161d1e1b3b4247.pdf</x:v>
      </x:c>
    </x:row>
    <x:row r="25" ht="54" customHeight="1">
      <x:c r="A25" s="25" t="n">
        <x:v>627</x:v>
      </x:c>
      <x:c r="B25" s="25" t="str">
        <x:v>二十三日</x:v>
      </x:c>
      <x:c r="C25" s="27" t="str">
        <x:v>龙骨山</x:v>
      </x:c>
      <x:c r="D25" s="25" t="str">
        <x:v>山岳</x:v>
      </x:c>
      <x:c r="E25" s="25" t="str">
        <x:v>江西等處承宣布政使司</x:v>
      </x:c>
      <x:c r="F25" s="25" t="str">
        <x:v>撫州府</x:v>
      </x:c>
      <x:c r="G25" s="25"/>
      <x:c r="H25" s="25" t="str">
        <x:v>崇仁縣</x:v>
      </x:c>
      <x:c r="I25" s="25" t="str">
        <x:v>江西省</x:v>
      </x:c>
      <x:c r="J25" s="25" t="str">
        <x:v>撫州市</x:v>
      </x:c>
      <x:c r="K25" s="25" t="str">
        <x:v>崇仁縣</x:v>
      </x:c>
      <x:c r="L25" s="25" t="str">
        <x:v>龙骨山</x:v>
      </x:c>
      <x:c r="M25" s="25" t="str">
        <x:v>同名沿用</x:v>
      </x:c>
      <x:c r="N25" s="25" t="str">
        <x:v>probable</x:v>
      </x:c>
      <x:c r="O25" s="25" t="str">
        <x:v>confirmed</x:v>
      </x:c>
      <x:c r="P25" s="27" t="str">
        <x:v>龙骨山為山名，名稱較特定，依上下文在崇仁縣，但未提供現代知名山岳證據，故推測為同名沿用。</x:v>
      </x:c>
      <x:c r="Q25" s="27" t="str">
        <x:v>从此入山共三里，逾大霍岭，直逼龙骨山下。</x:v>
      </x:c>
      <x:c r="R25" s="25" t="str">
        <x:v>https://chgis.hudci.org/tgaz/placename/hvd_40999</x:v>
      </x:c>
      <x:c r="S25" s="25" t="str">
        <x:v>https://zjj.ganzhou.gov.cn/attachment/cmsfile/59617910d5353fbf94a7cb7161d1e1b3b4247.pdf</x:v>
      </x:c>
    </x:row>
    <x:row r="26" ht="54" customHeight="1">
      <x:c r="A26" s="25" t="n">
        <x:v>628</x:v>
      </x:c>
      <x:c r="B26" s="25" t="str">
        <x:v>二十三日</x:v>
      </x:c>
      <x:c r="C26" s="27" t="str">
        <x:v>骨岭</x:v>
      </x:c>
      <x:c r="D26" s="25" t="str">
        <x:v>山岳</x:v>
      </x:c>
      <x:c r="E26" s="25" t="str">
        <x:v>江西等處承宣布政使司</x:v>
      </x:c>
      <x:c r="F26" s="25" t="str">
        <x:v>撫州府</x:v>
      </x:c>
      <x:c r="G26" s="25"/>
      <x:c r="H26" s="25" t="str">
        <x:v>崇仁縣</x:v>
      </x:c>
      <x:c r="I26" s="25" t="str">
        <x:v>江西省</x:v>
      </x:c>
      <x:c r="J26" s="25" t="str">
        <x:v>撫州市</x:v>
      </x:c>
      <x:c r="K26" s="25" t="str">
        <x:v>崇仁縣</x:v>
      </x:c>
      <x:c r="L26" s="25" t="str">
        <x:v>骨岭</x:v>
      </x:c>
      <x:c r="M26" s="25" t="str">
        <x:v>待考</x:v>
      </x:c>
      <x:c r="N26" s="25" t="str">
        <x:v>review</x:v>
      </x:c>
      <x:c r="O26" s="25" t="str">
        <x:v>confirmed</x:v>
      </x:c>
      <x:c r="P26" s="27" t="str">
        <x:v>review</x:v>
      </x:c>
      <x:c r="Q26" s="27" t="str">
        <x:v>又二里，逾骨岭，水犹东注。</x:v>
      </x:c>
      <x:c r="R26" s="25" t="str">
        <x:v>https://chgis.hudci.org/tgaz/placename/hvd_40999</x:v>
      </x:c>
      <x:c r="S26" s="25" t="str">
        <x:v>https://zjj.ganzhou.gov.cn/attachment/cmsfile/59617910d5353fbf94a7cb7161d1e1b3b4247.pdf</x:v>
      </x:c>
    </x:row>
    <x:row r="27" ht="54" customHeight="1">
      <x:c r="A27" s="25" t="n">
        <x:v>629</x:v>
      </x:c>
      <x:c r="B27" s="25" t="str">
        <x:v>二十三日</x:v>
      </x:c>
      <x:c r="C27" s="27" t="str">
        <x:v>幞头岭</x:v>
      </x:c>
      <x:c r="D27" s="25" t="str">
        <x:v>山岳</x:v>
      </x:c>
      <x:c r="E27" s="25" t="str">
        <x:v>江西等處承宣布政使司</x:v>
      </x:c>
      <x:c r="F27" s="25" t="str">
        <x:v>撫州府</x:v>
      </x:c>
      <x:c r="G27" s="25"/>
      <x:c r="H27" s="25" t="str">
        <x:v>崇仁縣</x:v>
      </x:c>
      <x:c r="I27" s="25" t="str">
        <x:v>江西省</x:v>
      </x:c>
      <x:c r="J27" s="25" t="str">
        <x:v>撫州市</x:v>
      </x:c>
      <x:c r="K27" s="25" t="str">
        <x:v>崇仁縣</x:v>
      </x:c>
      <x:c r="L27" s="25" t="str">
        <x:v>幞头岭</x:v>
      </x:c>
      <x:c r="M27" s="25" t="str">
        <x:v>同名沿用</x:v>
      </x:c>
      <x:c r="N27" s="25" t="str">
        <x:v>probable</x:v>
      </x:c>
      <x:c r="O27" s="25" t="str">
        <x:v>confirmed</x:v>
      </x:c>
      <x:c r="P27" s="27" t="str">
        <x:v>幞头岭為山嶺名，名稱較特定，依上下文在崇仁縣，但未提供現代唯一對應證據，故推測為同名沿用。</x:v>
      </x:c>
      <x:c r="Q27" s="27" t="str">
        <x:v>又三里，下幞头岭，水始西流。</x:v>
      </x:c>
      <x:c r="R27" s="25" t="str">
        <x:v>https://chgis.hudci.org/tgaz/placename/hvd_40999</x:v>
      </x:c>
      <x:c r="S27" s="25" t="str">
        <x:v>https://zjj.ganzhou.gov.cn/attachment/cmsfile/59617910d5353fbf94a7cb7161d1e1b3b4247.pdf</x:v>
      </x:c>
    </x:row>
    <x:row r="28" ht="54" customHeight="1">
      <x:c r="A28" s="25" t="n">
        <x:v>630</x:v>
      </x:c>
      <x:c r="B28" s="25" t="str">
        <x:v>二十三日</x:v>
      </x:c>
      <x:c r="C28" s="27" t="str">
        <x:v>纯乡</x:v>
      </x:c>
      <x:c r="D28" s="25" t="str">
        <x:v>聚落</x:v>
      </x:c>
      <x:c r="E28" s="25" t="str">
        <x:v>江西等處承宣布政使司</x:v>
      </x:c>
      <x:c r="F28" s="25" t="str">
        <x:v>撫州府</x:v>
      </x:c>
      <x:c r="G28" s="25"/>
      <x:c r="H28" s="25" t="str">
        <x:v>崇仁縣</x:v>
      </x:c>
      <x:c r="I28" s="25" t="str">
        <x:v>江西省</x:v>
      </x:c>
      <x:c r="J28" s="25" t="str">
        <x:v>撫州市</x:v>
      </x:c>
      <x:c r="K28" s="25" t="str">
        <x:v>崇仁縣</x:v>
      </x:c>
      <x:c r="L28" s="25" t="str">
        <x:v>纯乡</x:v>
      </x:c>
      <x:c r="M28" s="25" t="str">
        <x:v>待考</x:v>
      </x:c>
      <x:c r="N28" s="25" t="str">
        <x:v>review</x:v>
      </x:c>
      <x:c r="O28" s="25" t="str">
        <x:v>confirmed</x:v>
      </x:c>
      <x:c r="P28" s="27" t="str">
        <x:v>review</x:v>
      </x:c>
      <x:c r="Q28" s="27" t="str">
        <x:v>又四里至纯乡，则一溪自南而北矣。</x:v>
      </x:c>
      <x:c r="R28" s="25" t="str">
        <x:v>https://chgis.hudci.org/tgaz/placename/hvd_40999</x:v>
      </x:c>
      <x:c r="S28" s="25" t="str">
        <x:v>https://zjj.ganzhou.gov.cn/attachment/cmsfile/59617910d5353fbf94a7cb7161d1e1b3b4247.pdf</x:v>
      </x:c>
    </x:row>
    <x:row r="29" ht="54" customHeight="1">
      <x:c r="A29" s="25" t="n">
        <x:v>631</x:v>
      </x:c>
      <x:c r="B29" s="25" t="str">
        <x:v>二十三日</x:v>
      </x:c>
      <x:c r="C29" s="27" t="str">
        <x:v>纯乡村</x:v>
      </x:c>
      <x:c r="D29" s="25" t="str">
        <x:v>村莊／寨</x:v>
      </x:c>
      <x:c r="E29" s="25" t="str">
        <x:v>江西等處承宣布政使司</x:v>
      </x:c>
      <x:c r="F29" s="25" t="str">
        <x:v>撫州府</x:v>
      </x:c>
      <x:c r="G29" s="25"/>
      <x:c r="H29" s="25" t="str">
        <x:v>崇仁縣</x:v>
      </x:c>
      <x:c r="I29" s="25" t="str">
        <x:v>江西省</x:v>
      </x:c>
      <x:c r="J29" s="25" t="str">
        <x:v>撫州市</x:v>
      </x:c>
      <x:c r="K29" s="25" t="str">
        <x:v>崇仁縣</x:v>
      </x:c>
      <x:c r="L29" s="25" t="str">
        <x:v>纯乡村</x:v>
      </x:c>
      <x:c r="M29" s="25" t="str">
        <x:v>待考</x:v>
      </x:c>
      <x:c r="N29" s="25" t="str">
        <x:v>review</x:v>
      </x:c>
      <x:c r="O29" s="25" t="str">
        <x:v>confirmed</x:v>
      </x:c>
      <x:c r="P29" s="27" t="str">
        <x:v>review</x:v>
      </x:c>
      <x:c r="Q29" s="27" t="str">
        <x:v>渡溪桥是为纯乡村，有居民颇众。</x:v>
      </x:c>
      <x:c r="R29" s="25" t="str">
        <x:v>https://chgis.hudci.org/tgaz/placename/hvd_40999</x:v>
      </x:c>
      <x:c r="S29" s="25" t="str">
        <x:v>https://zjj.ganzhou.gov.cn/attachment/cmsfile/59617910d5353fbf94a7cb7161d1e1b3b4247.pdf</x:v>
      </x:c>
    </x:row>
    <x:row r="30" ht="54" customHeight="1">
      <x:c r="A30" s="25" t="n">
        <x:v>633</x:v>
      </x:c>
      <x:c r="B30" s="25" t="str">
        <x:v>二十三日</x:v>
      </x:c>
      <x:c r="C30" s="27" t="str">
        <x:v>干冈岭</x:v>
      </x:c>
      <x:c r="D30" s="25" t="str">
        <x:v>山岳</x:v>
      </x:c>
      <x:c r="E30" s="25" t="str">
        <x:v>江西等處承宣布政使司</x:v>
      </x:c>
      <x:c r="F30" s="25" t="str">
        <x:v>撫州府</x:v>
      </x:c>
      <x:c r="G30" s="25"/>
      <x:c r="H30" s="25" t="str">
        <x:v>崇仁縣</x:v>
      </x:c>
      <x:c r="I30" s="25" t="str">
        <x:v>江西省</x:v>
      </x:c>
      <x:c r="J30" s="25" t="str">
        <x:v>撫州市</x:v>
      </x:c>
      <x:c r="K30" s="25" t="str">
        <x:v>崇仁縣</x:v>
      </x:c>
      <x:c r="L30" s="25" t="str">
        <x:v>待考</x:v>
      </x:c>
      <x:c r="M30" s="25" t="str">
        <x:v>僅確定至現代縣級</x:v>
      </x:c>
      <x:c r="N30" s="25" t="str">
        <x:v>review</x:v>
      </x:c>
      <x:c r="O30" s="25" t="str">
        <x:v>confirmed</x:v>
      </x:c>
      <x:c r="P30" s="27" t="str">
        <x:v>干冈岭為小嶺，無知名對應，僅能確定在崇仁縣境內。</x:v>
      </x:c>
      <x:c r="Q30" s="27" t="str">
        <x:v>南循小水一里，西登干冈岭，岭颇峻，逾岭而下，纯西南行矣。</x:v>
      </x:c>
      <x:c r="R30" s="25" t="str">
        <x:v>https://chgis.hudci.org/tgaz/placename/hvd_40999</x:v>
      </x:c>
      <x:c r="S30" s="25" t="str">
        <x:v>https://zjj.ganzhou.gov.cn/attachment/cmsfile/59617910d5353fbf94a7cb7161d1e1b3b4247.pdf</x:v>
      </x:c>
    </x:row>
    <x:row r="31" ht="54" customHeight="1">
      <x:c r="A31" s="25" t="n">
        <x:v>636</x:v>
      </x:c>
      <x:c r="B31" s="25" t="str">
        <x:v>二十三日</x:v>
      </x:c>
      <x:c r="C31" s="27" t="str">
        <x:v>巴溪</x:v>
      </x:c>
      <x:c r="D31" s="25" t="str">
        <x:v>江河</x:v>
      </x:c>
      <x:c r="E31" s="25" t="str">
        <x:v>江西等處承宣布政使司</x:v>
      </x:c>
      <x:c r="F31" s="25" t="str">
        <x:v>撫州府</x:v>
      </x:c>
      <x:c r="G31" s="25"/>
      <x:c r="H31" s="25" t="str">
        <x:v>崇仁縣</x:v>
      </x:c>
      <x:c r="I31" s="25" t="str">
        <x:v>江西省</x:v>
      </x:c>
      <x:c r="J31" s="25" t="str">
        <x:v>撫州市</x:v>
      </x:c>
      <x:c r="K31" s="25" t="str">
        <x:v>崇仁縣</x:v>
      </x:c>
      <x:c r="L31" s="25" t="str">
        <x:v>待考</x:v>
      </x:c>
      <x:c r="M31" s="25" t="str">
        <x:v>僅確定至現代縣級</x:v>
      </x:c>
      <x:c r="N31" s="25" t="str">
        <x:v>review</x:v>
      </x:c>
      <x:c r="O31" s="25" t="str">
        <x:v>confirmed</x:v>
      </x:c>
      <x:c r="P31" s="27" t="str">
        <x:v>巴溪為小河流，無知名對應，僅能確定在崇仁縣境內。</x:v>
      </x:c>
      <x:c r="Q31" s="27" t="str">
        <x:v>又西五里，过练树桥，桥跨巴溪之上。</x:v>
      </x:c>
      <x:c r="R31" s="25" t="str">
        <x:v>https://chgis.hudci.org/tgaz/placename/hvd_40999</x:v>
      </x:c>
      <x:c r="S31" s="25" t="str">
        <x:v>https://zjj.ganzhou.gov.cn/attachment/cmsfile/59617910d5353fbf94a7cb7161d1e1b3b4247.pdf</x:v>
      </x:c>
    </x:row>
    <x:row r="32" ht="54" customHeight="1">
      <x:c r="A32" s="26" t="n">
        <x:v>650</x:v>
      </x:c>
      <x:c r="B32" s="26" t="str">
        <x:v>二十三日</x:v>
      </x:c>
      <x:c r="C32" s="28" t="str">
        <x:v>朱碧街</x:v>
      </x:c>
      <x:c r="D32" s="26" t="str">
        <x:v>聚落</x:v>
      </x:c>
      <x:c r="E32" s="26" t="str">
        <x:v>江西等處承宣布政使司</x:v>
      </x:c>
      <x:c r="F32" s="26" t="str">
        <x:v>撫州府</x:v>
      </x:c>
      <x:c r="G32" s="26"/>
      <x:c r="H32" s="26" t="str">
        <x:v>崇仁縣</x:v>
      </x:c>
      <x:c r="I32" s="26" t="str">
        <x:v>江西省</x:v>
      </x:c>
      <x:c r="J32" s="26" t="str">
        <x:v>撫州市</x:v>
      </x:c>
      <x:c r="K32" s="26" t="str">
        <x:v>崇仁縣</x:v>
      </x:c>
      <x:c r="L32" s="26" t="str">
        <x:v>待考</x:v>
      </x:c>
      <x:c r="M32" s="26" t="str">
        <x:v>僅確定至現代縣級</x:v>
      </x:c>
      <x:c r="N32" s="26" t="str">
        <x:v>review</x:v>
      </x:c>
      <x:c r="O32" s="26" t="str">
        <x:v>confirmed</x:v>
      </x:c>
      <x:c r="P32" s="28" t="str">
        <x:v>朱碧街為小聚落，無可靠唯一對應，僅能確定在崇仁縣境內。</x:v>
      </x:c>
      <x:c r="Q32" s="28" t="str">
        <x:v>自练树桥又五里而至朱碧街。</x:v>
      </x:c>
      <x:c r="R32" s="26" t="str">
        <x:v>https://chgis.hudci.org/tgaz/placename/hvd_40999</x:v>
      </x:c>
      <x:c r="S32" s="26" t="str">
        <x:v>https://zjj.ganzhou.gov.cn/attachment/cmsfile/59617910d5353fbf94a7cb7161d1e1b3b4247.pdf</x:v>
      </x:c>
    </x:row>
  </x:sheetData>
  <x:mergeCells>
    <x:mergeCell ref="A1:S1"/>
    <x:mergeCell ref="A2:S2"/>
    <x:mergeCell ref="A3:S3"/>
    <x:mergeCell ref="A4:S4"/>
    <x:mergeCell ref="A5:S5"/>
  </x:mergeCells>
  <x:pageMargins left="0.7" right="0.7" top="0.75" bottom="0.75" header="0.3" footer="0.3"/>
  <x:tableParts count="1">
    <x:tablePart xmlns:r="http://schemas.openxmlformats.org/officeDocument/2006/relationships" r:id="R49b5edb455bf4382"/>
  </x:tableParts>
</x:worksheet>
</file>