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809caf82e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步驟一_抽地名" sheetId="1" r:id="Rc876397eb0a54e0e"/>
    <x:sheet xmlns:r="http://schemas.openxmlformats.org/officeDocument/2006/relationships" name="步驟二_古今地區" sheetId="2" r:id="R591d5100805c4aea"/>
    <x:sheet xmlns:r="http://schemas.openxmlformats.org/officeDocument/2006/relationships" name="步驟三_地方志" sheetId="3" r:id="R389f3e0620b941d6"/>
    <x:sheet xmlns:r="http://schemas.openxmlformats.org/officeDocument/2006/relationships" name="步驟四_座標範圍" sheetId="4" r:id="R75e1d3999cd142b8"/>
    <x:sheet xmlns:r="http://schemas.openxmlformats.org/officeDocument/2006/relationships" name="步驟五_API配對" sheetId="5" r:id="Re8275a1178e94d99"/>
    <x:sheet xmlns:r="http://schemas.openxmlformats.org/officeDocument/2006/relationships" name="步驟六_地方志推算" sheetId="6" r:id="Rd3b5c2fc69e745a3"/>
    <x:sheet xmlns:r="http://schemas.openxmlformats.org/officeDocument/2006/relationships" name="步驟七_原文推算" sheetId="7" r:id="Ra8abacc4650e4ec0"/>
    <x:sheet xmlns:r="http://schemas.openxmlformats.org/officeDocument/2006/relationships" name="步驟一_篩除" sheetId="8" r:id="R6162df23aa2c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9"/>
      <x:color rgb="FF065F46"/>
      <x:name val="Carlito"/>
    </x:font>
    <x:font>
      <x:b/>
      <x:sz val="10"/>
      <x:color rgb="FF92400E"/>
      <x:name val="Carlito"/>
    </x:font>
    <x:font>
      <x:sz val="10"/>
      <x:color rgb="FF78350F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8"/>
      <x:color rgb="FF334155"/>
      <x:name val="Carlito"/>
    </x:font>
    <x:font>
      <x:i/>
      <x:sz val="10"/>
      <x:color rgb="FF78350F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92400E"/>
      </x:patternFill>
    </x:fill>
    <x:fill>
      <x:patternFill patternType="solid">
        <x:fgColor rgb="FF7C3AED"/>
      </x:patternFill>
    </x:fill>
    <x:fill>
      <x:patternFill patternType="solid">
        <x:fgColor rgb="FF0369A1"/>
      </x:patternFill>
    </x:fill>
    <x:fill>
      <x:patternFill patternType="solid">
        <x:fgColor rgb="FFB45309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64748B"/>
      </x:patternFill>
    </x:fill>
    <x:fill>
      <x:patternFill patternType="solid">
        <x:fgColor rgb="FF0369A1"/>
      </x:patternFill>
    </x:fill>
    <x:fill>
      <x:patternFill patternType="solid">
        <x:fgColor rgb="FF0E7490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64748B"/>
      </x:patternFill>
    </x:fill>
    <x:fill>
      <x:patternFill patternType="solid">
        <x:fgColor rgb="FF0369A1"/>
      </x:patternFill>
    </x:fill>
    <x:fill>
      <x:patternFill patternType="solid">
        <x:fgColor rgb="FF0E7490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64748B"/>
      </x:patternFill>
    </x:fill>
    <x:fill>
      <x:patternFill patternType="solid">
        <x:fgColor rgb="FF0369A1"/>
      </x:patternFill>
    </x:fill>
    <x:fill>
      <x:patternFill patternType="solid">
        <x:fgColor rgb="FF0E7490"/>
      </x:patternFill>
    </x:fill>
    <x:fill>
      <x:patternFill patternType="solid">
        <x:fgColor rgb="FF0369A1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left"/>
    </x:xf>
    <x:xf numFmtId="0" fontId="3" fillId="15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0" xfId="0" applyNumberFormat="1" applyFont="1" applyFill="1" applyBorder="0"/>
    <x:xf numFmtId="0" fontId="6" fillId="0" xfId="0" applyNumberFormat="1" applyFont="1" applyFill="1" applyBorder="0" applyAlignment="1">
      <x:alignment wrapText="1"/>
    </x:xf>
    <x:xf numFmtId="0" fontId="6" fillId="0" xfId="0" applyNumberFormat="1" applyFont="1" applyFill="1" applyBorder="0" applyAlignment="1">
      <x:alignment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left"/>
    </x:xf>
    <x:xf numFmtId="0" fontId="1" fillId="16" borderId="0" xfId="0" applyNumberFormat="1" applyFont="1" applyFill="1" applyBorder="1" applyAlignment="1">
      <x:alignment horizontal="left" vertical="center"/>
    </x:xf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horizont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horizont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left"/>
    </x:xf>
    <x:xf numFmtId="0" fontId="1" fillId="18" borderId="0" xfId="0" applyNumberFormat="1" applyFont="1" applyFill="1" applyBorder="1" applyAlignment="1">
      <x:alignment horizontal="left" vertical="center"/>
    </x:xf>
    <x:xf numFmtId="0" fontId="5" fillId="18" borderId="0" xfId="0" applyNumberFormat="1" applyFont="1" applyFill="1" applyBorder="1"/>
    <x:xf numFmtId="0" fontId="5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horizontal="center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/>
    </x:xf>
    <x:xf numFmtId="0" fontId="1" fillId="19" borderId="0" xfId="0" applyNumberFormat="1" applyFont="1" applyFill="1" applyBorder="1" applyAlignment="1">
      <x:alignment horizontal="left" vertical="center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vertical="center" wrapText="1"/>
    </x:xf>
    <x:xf numFmtId="0" fontId="8" fillId="21" borderId="0" xfId="0" applyNumberFormat="1" applyFont="1" applyFill="1" applyBorder="1" applyAlignment="1">
      <x:alignment vertical="center" wrapText="1"/>
    </x:xf>
    <x:xf numFmtId="0" fontId="8" fillId="21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horizontal="left"/>
    </x:xf>
    <x:xf numFmtId="0" fontId="3" fillId="22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horizontal="center" wrapText="1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horizontal="left"/>
    </x:xf>
    <x:xf numFmtId="0" fontId="1" fillId="23" borderId="0" xfId="0" applyNumberFormat="1" applyFont="1" applyFill="1" applyBorder="1" applyAlignment="1">
      <x:alignment horizontal="left" vertical="center"/>
    </x:xf>
    <x:xf numFmtId="0" fontId="5" fillId="23" borderId="0" xfId="0" applyNumberFormat="1" applyFont="1" applyFill="1" applyBorder="1"/>
    <x:xf numFmtId="0" fontId="5" fillId="23" borderId="0" xfId="0" applyNumberFormat="1" applyFont="1" applyFill="1" applyBorder="1" applyAlignment="1">
      <x:alignment wrapText="1"/>
    </x:xf>
    <x:xf numFmtId="0" fontId="5" fillId="23" borderId="0" xfId="0" applyNumberFormat="1" applyFont="1" applyFill="1" applyBorder="1" applyAlignment="1">
      <x:alignment horizontal="center" wrapText="1"/>
    </x:xf>
    <x:xf numFmtId="0" fontId="5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left"/>
    </x:xf>
    <x:xf numFmtId="0" fontId="1" fillId="24" borderId="0" xfId="0" applyNumberFormat="1" applyFont="1" applyFill="1" applyBorder="1" applyAlignment="1">
      <x:alignment horizontal="left" vertical="center"/>
    </x:xf>
    <x:xf numFmtId="0" fontId="5" fillId="24" borderId="0" xfId="0" applyNumberFormat="1" applyFont="1" applyFill="1" applyBorder="1"/>
    <x:xf numFmtId="0" fontId="5" fillId="24" borderId="0" xfId="0" applyNumberFormat="1" applyFont="1" applyFill="1" applyBorder="1" applyAlignment="1">
      <x:alignment wrapText="1"/>
    </x:xf>
    <x:xf numFmtId="0" fontId="5" fillId="24" borderId="0" xfId="0" applyNumberFormat="1" applyFont="1" applyFill="1" applyBorder="1" applyAlignment="1">
      <x:alignment horizontal="center" wrapText="1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left"/>
    </x:xf>
    <x:xf numFmtId="0" fontId="1" fillId="25" borderId="0" xfId="0" applyNumberFormat="1" applyFont="1" applyFill="1" applyBorder="1" applyAlignment="1">
      <x:alignment horizontal="left" vertical="center"/>
    </x:xf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horizontal="center" wrapText="1"/>
    </x:xf>
    <x:xf numFmtId="0" fontId="5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left"/>
    </x:xf>
    <x:xf numFmtId="0" fontId="1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vertical="center" wrapText="1"/>
    </x:xf>
    <x:xf numFmtId="0" fontId="2" fillId="28" borderId="0" xfId="0" applyNumberFormat="1" applyFont="1" applyFill="1" applyBorder="1" applyAlignment="1">
      <x:alignment vertical="center" wrapText="1"/>
    </x:xf>
    <x:xf numFmtId="0" fontId="8" fillId="28" borderId="0" xfId="0" applyNumberFormat="1" applyFont="1" applyFill="1" applyBorder="1" applyAlignment="1">
      <x:alignment vertical="center" wrapText="1"/>
    </x:xf>
    <x:xf numFmtId="0" fontId="8" fillId="28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horizontal="left"/>
    </x:xf>
    <x:xf numFmtId="0" fontId="3" fillId="29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 applyAlignment="1">
      <x:alignment vertical="top" wrapText="1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horizontal="left"/>
    </x:xf>
    <x:xf numFmtId="0" fontId="1" fillId="30" borderId="0" xfId="0" applyNumberFormat="1" applyFont="1" applyFill="1" applyBorder="1" applyAlignment="1">
      <x:alignment horizontal="left" vertical="center"/>
    </x:xf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horizontal="center" wrapText="1"/>
    </x:xf>
    <x:xf numFmtId="0" fontId="5" fillId="30" borderId="0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1" fillId="31" borderId="0" xfId="0" applyNumberFormat="1" applyFont="1" applyFill="1" applyBorder="1" applyAlignment="1">
      <x:alignment horizontal="left"/>
    </x:xf>
    <x:xf numFmtId="0" fontId="1" fillId="31" borderId="0" xfId="0" applyNumberFormat="1" applyFont="1" applyFill="1" applyBorder="1" applyAlignment="1">
      <x:alignment horizontal="left" vertical="center"/>
    </x:xf>
    <x:xf numFmtId="0" fontId="5" fillId="31" borderId="0" xfId="0" applyNumberFormat="1" applyFont="1" applyFill="1" applyBorder="1"/>
    <x:xf numFmtId="0" fontId="5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horizontal="center" wrapText="1"/>
    </x:xf>
    <x:xf numFmtId="0" fontId="5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0" xfId="0" applyNumberFormat="1" applyFont="1" applyFill="1" applyBorder="1" applyAlignment="1">
      <x:alignment horizontal="left"/>
    </x:xf>
    <x:xf numFmtId="0" fontId="1" fillId="32" borderId="0" xfId="0" applyNumberFormat="1" applyFont="1" applyFill="1" applyBorder="1" applyAlignment="1">
      <x:alignment horizontal="left" vertical="center"/>
    </x:xf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horizontal="left"/>
    </x:xf>
    <x:xf numFmtId="0" fontId="1" fillId="33" borderId="0" xfId="0" applyNumberFormat="1" applyFont="1" applyFill="1" applyBorder="1" applyAlignment="1">
      <x:alignment horizontal="left" vertical="center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0" xfId="0" applyNumberFormat="1" applyFont="1" applyFill="1" applyBorder="1" applyAlignment="1">
      <x:alignment wrapText="1"/>
    </x:xf>
    <x:xf numFmtId="0" fontId="2" fillId="34" borderId="0" xfId="0" applyNumberFormat="1" applyFont="1" applyFill="1" applyBorder="1" applyAlignment="1">
      <x:alignment vertical="center" wrapText="1"/>
    </x:xf>
    <x:xf numFmtId="0" fontId="2" fillId="35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horizontal="left"/>
    </x:xf>
    <x:xf numFmtId="0" fontId="3" fillId="36" borderId="0" xfId="0" applyNumberFormat="1" applyFont="1" applyFill="1" applyBorder="1" applyAlignment="1">
      <x:alignment horizontal="left" vertical="center"/>
    </x:xf>
    <x:xf numFmtId="0" fontId="0" fillId="35" borderId="0" xfId="0" applyNumberFormat="1" applyFont="1" applyFill="1" applyBorder="1"/>
    <x:xf numFmtId="0" fontId="4" fillId="35" borderId="0" xfId="0" applyNumberFormat="1" applyFont="1" applyFill="1" applyBorder="1"/>
    <x:xf numFmtId="0" fontId="4" fillId="35" borderId="0" xfId="0" applyNumberFormat="1" applyFont="1" applyFill="1" applyBorder="1" applyAlignment="1">
      <x:alignment wrapText="1"/>
    </x:xf>
    <x:xf numFmtId="0" fontId="4" fillId="35" borderId="0" xfId="0" applyNumberFormat="1" applyFont="1" applyFill="1" applyBorder="1" applyAlignment="1">
      <x:alignment vertical="top" wrapText="1"/>
    </x:xf>
    <x:xf numFmtId="0" fontId="5" fillId="33" borderId="0" xfId="0" applyNumberFormat="1" applyFont="1" applyFill="1" applyBorder="1"/>
    <x:xf numFmtId="0" fontId="5" fillId="33" borderId="0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horizontal="center" wrapText="1"/>
    </x:xf>
    <x:xf numFmtId="0" fontId="5" fillId="3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45fc54a21486b" /><Relationship Type="http://schemas.openxmlformats.org/officeDocument/2006/relationships/theme" Target="/xl/theme/theme1.xml" Id="Ra38c4c2b04604ba3" /><Relationship Type="http://schemas.openxmlformats.org/officeDocument/2006/relationships/sharedStrings" Target="/xl/sharedStrings.xml" Id="R9d9cd0e915af46cc" /><Relationship Type="http://schemas.openxmlformats.org/officeDocument/2006/relationships/worksheet" Target="/xl/worksheets/sheet1.xml" Id="Rc876397eb0a54e0e" /><Relationship Type="http://schemas.openxmlformats.org/officeDocument/2006/relationships/worksheet" Target="/xl/worksheets/sheet2.xml" Id="R591d5100805c4aea" /><Relationship Type="http://schemas.openxmlformats.org/officeDocument/2006/relationships/worksheet" Target="/xl/worksheets/sheet3.xml" Id="R389f3e0620b941d6" /><Relationship Type="http://schemas.openxmlformats.org/officeDocument/2006/relationships/worksheet" Target="/xl/worksheets/sheet4.xml" Id="R75e1d3999cd142b8" /><Relationship Type="http://schemas.openxmlformats.org/officeDocument/2006/relationships/worksheet" Target="/xl/worksheets/sheet5.xml" Id="Re8275a1178e94d99" /><Relationship Type="http://schemas.openxmlformats.org/officeDocument/2006/relationships/worksheet" Target="/xl/worksheets/sheet6.xml" Id="Rd3b5c2fc69e745a3" /><Relationship Type="http://schemas.openxmlformats.org/officeDocument/2006/relationships/worksheet" Target="/xl/worksheets/sheet7.xml" Id="Ra8abacc4650e4ec0" /><Relationship Type="http://schemas.openxmlformats.org/officeDocument/2006/relationships/worksheet" Target="/xl/worksheets/sheet8.xml" Id="R6162df23aa2c45cb" /></Relationships>
</file>

<file path=xl/tables/table1.xml><?xml version="1.0" encoding="utf-8"?>
<x:table xmlns:x="http://schemas.openxmlformats.org/spreadsheetml/2006/main" id="16" name="Day23Step1PassedOnly" displayName="Day23Step1PassedOnly" ref="A6:M31" headerRowCount="1" totalsRowCount="0" totalsRowShown="0">
  <x:autoFilter ref="A6:M31"/>
  <x:tableColumns count="13">
    <x:tableColumn id="1" name="序號"/>
    <x:tableColumn id="2" name="日期"/>
    <x:tableColumn id="3" name="地名"/>
    <x:tableColumn id="4" name="類別"/>
    <x:tableColumn id="5" name="細分類"/>
    <x:tableColumn id="6" name="行程"/>
    <x:tableColumn id="7" name="原文"/>
    <x:tableColumn id="8" name="第一地方志配對"/>
    <x:tableColumn id="9" name="地方志原句"/>
    <x:tableColumn id="10" name="第二地方志"/>
    <x:tableColumn id="11" name="record_level"/>
    <x:tableColumn id="12" name="gis_decision"/>
    <x:tableColumn id="13" name="判斷理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y23Step2AncientModern" displayName="Day23Step2AncientModern" ref="A6:S31" headerRowCount="1" totalsRowCount="0" totalsRowShown="0">
  <x:autoFilter ref="A6:S31"/>
  <x:tableColumns count="19">
    <x:tableColumn id="1" name="行程序號"/>
    <x:tableColumn id="2" name="日期"/>
    <x:tableColumn id="3" name="古代地名（原文）"/>
    <x:tableColumn id="4" name="地物類型"/>
    <x:tableColumn id="5" name="承宣布政使司"/>
    <x:tableColumn id="6" name="府（直隸州）"/>
    <x:tableColumn id="7" name="州"/>
    <x:tableColumn id="8" name="縣"/>
    <x:tableColumn id="9" name="現代省級"/>
    <x:tableColumn id="10" name="現代地級"/>
    <x:tableColumn id="11" name="現代縣級"/>
    <x:tableColumn id="12" name="現代地名"/>
    <x:tableColumn id="13" name="古今關係"/>
    <x:tableColumn id="14" name="配對狀態"/>
    <x:tableColumn id="15" name="古代隸屬狀態"/>
    <x:tableColumn id="16" name="判斷說明"/>
    <x:tableColumn id="17" name="原文"/>
    <x:tableColumn id="18" name="明代行政來源"/>
    <x:tableColumn id="19" name="現代行政來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y23Step3Gazetteer" displayName="Day23Step3Gazetteer" ref="A6:Q22" headerRowCount="1" totalsRowCount="0" totalsRowShown="0">
  <x:autoFilter ref="A6:Q22"/>
  <x:tableColumns count="17">
    <x:tableColumn id="1" name="序號"/>
    <x:tableColumn id="2" name="日期"/>
    <x:tableColumn id="3" name="地名"/>
    <x:tableColumn id="4" name="類別"/>
    <x:tableColumn id="5" name="細分類"/>
    <x:tableColumn id="6" name="原文"/>
    <x:tableColumn id="7" name="第一地方志配對"/>
    <x:tableColumn id="8" name="地方志原句"/>
    <x:tableColumn id="9" name="第二地方志"/>
    <x:tableColumn id="10" name="匹配狀態"/>
    <x:tableColumn id="11" name="母地物候選"/>
    <x:tableColumn id="12" name="古代府／直隸州"/>
    <x:tableColumn id="13" name="古代縣"/>
    <x:tableColumn id="14" name="現代縣級"/>
    <x:tableColumn id="15" name="record_level"/>
    <x:tableColumn id="16" name="gis_decision"/>
    <x:tableColumn id="17" name="備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y23Step4AdminBounds" displayName="Day23Step4AdminBounds" ref="A6:X40" headerRowCount="1" totalsRowCount="0" totalsRowShown="0">
  <x:autoFilter ref="A6:X40"/>
  <x:tableColumns count="24">
    <x:tableColumn id="1" name="boundary_id"/>
    <x:tableColumn id="2" name="行政層級"/>
    <x:tableColumn id="3" name="現代省級"/>
    <x:tableColumn id="4" name="現代地級"/>
    <x:tableColumn id="5" name="現代縣級"/>
    <x:tableColumn id="6" name="行政區名稱"/>
    <x:tableColumn id="7" name="中心經度"/>
    <x:tableColumn id="8" name="中心緯度"/>
    <x:tableColumn id="9" name="最小經度"/>
    <x:tableColumn id="10" name="最小緯度"/>
    <x:tableColumn id="11" name="最大經度"/>
    <x:tableColumn id="12" name="最大緯度"/>
    <x:tableColumn id="13" name="geometry_type"/>
    <x:tableColumn id="14" name="polygon數"/>
    <x:tableColumn id="15" name="ring數"/>
    <x:tableColumn id="16" name="頂點數"/>
    <x:tableColumn id="17" name="簡化容差（度）"/>
    <x:tableColumn id="18" name="CHGIS歷史單位"/>
    <x:tableColumn id="19" name="CHGIS治所POINT"/>
    <x:tableColumn id="20" name="CHGIS錨點核對"/>
    <x:tableColumn id="21" name="邊界配對狀態"/>
    <x:tableColumn id="22" name="現代邊界來源"/>
    <x:tableColumn id="23" name="CHGIS來源"/>
    <x:tableColumn id="24" name="用途及限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0" name="Day23CombinedStep5Compact" displayName="Day23CombinedStep5Compact" ref="A6:F22" headerRowCount="1" totalsRowCount="0" totalsRowShown="0">
  <x:autoFilter ref="A6:F22"/>
  <x:tableColumns count="6">
    <x:tableColumn id="1" name="序號"/>
    <x:tableColumn id="2" name="日期"/>
    <x:tableColumn id="3" name="地名"/>
    <x:tableColumn id="4" name="經度_WGS84"/>
    <x:tableColumn id="5" name="緯度_WGS84"/>
    <x:tableColumn id="6" name="資料來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y23Step6GazetteerInference" displayName="Day23Step6GazetteerInference" ref="A6:AB21" headerRowCount="1" totalsRowCount="0" totalsRowShown="0">
  <x:autoFilter ref="A6:AB21"/>
  <x:tableColumns count="28">
    <x:tableColumn id="1" name="序號"/>
    <x:tableColumn id="2" name="日期"/>
    <x:tableColumn id="3" name="地名"/>
    <x:tableColumn id="4" name="類別"/>
    <x:tableColumn id="5" name="細分類"/>
    <x:tableColumn id="6" name="行程"/>
    <x:tableColumn id="7" name="原文"/>
    <x:tableColumn id="8" name="舊經度"/>
    <x:tableColumn id="9" name="舊緯度"/>
    <x:tableColumn id="10" name="舊誤差半徑_m"/>
    <x:tableColumn id="11" name="新經度_WGS84"/>
    <x:tableColumn id="12" name="新緯度_WGS84"/>
    <x:tableColumn id="13" name="POINT_WKT"/>
    <x:tableColumn id="14" name="新誤差半徑_m"/>
    <x:tableColumn id="15" name="位移_m"/>
    <x:tableColumn id="16" name="輔助節點數"/>
    <x:tableColumn id="17" name="中間輔助節點"/>
    <x:tableColumn id="18" name="路徑走廊段數"/>
    <x:tableColumn id="19" name="走廊寬度_m"/>
    <x:tableColumn id="20" name="重算方法"/>
    <x:tableColumn id="21" name="證據分數"/>
    <x:tableColumn id="22" name="confidence"/>
    <x:tableColumn id="23" name="coordinate_status"/>
    <x:tableColumn id="24" name="gis_decision"/>
    <x:tableColumn id="25" name="主要來源"/>
    <x:tableColumn id="26" name="第二來源"/>
    <x:tableColumn id="27" name="route_use"/>
    <x:tableColumn id="28" name="六步重算限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y23Step7TextRoute" displayName="Day23Step7TextRoute" ref="A6:Z32" headerRowCount="1" totalsRowCount="0" totalsRowShown="0">
  <x:autoFilter ref="A6:Z32"/>
  <x:tableColumns count="26">
    <x:tableColumn id="1" name="corridor_order"/>
    <x:tableColumn id="2" name="日期"/>
    <x:tableColumn id="3" name="segment"/>
    <x:tableColumn id="4" name="from_id"/>
    <x:tableColumn id="5" name="from_name"/>
    <x:tableColumn id="6" name="from_role"/>
    <x:tableColumn id="7" name="to_id"/>
    <x:tableColumn id="8" name="to_name"/>
    <x:tableColumn id="9" name="to_role"/>
    <x:tableColumn id="10" name="from_lon_WGS84"/>
    <x:tableColumn id="11" name="from_lat_WGS84"/>
    <x:tableColumn id="12" name="to_lon_WGS84"/>
    <x:tableColumn id="13" name="to_lat_WGS84"/>
    <x:tableColumn id="14" name="distance_m"/>
    <x:tableColumn id="15" name="bearing_deg"/>
    <x:tableColumn id="16" name="centerline_WKT"/>
    <x:tableColumn id="17" name="corridor_polygon_WKT"/>
    <x:tableColumn id="18" name="corridor_width_m"/>
    <x:tableColumn id="19" name="CRS"/>
    <x:tableColumn id="20" name="geometry_role"/>
    <x:tableColumn id="21" name="建構方法"/>
    <x:tableColumn id="22" name="gis_decision"/>
    <x:tableColumn id="23" name="主要來源"/>
    <x:tableColumn id="24" name="from_source"/>
    <x:tableColumn id="25" name="to_source"/>
    <x:tableColumn id="26" name="約束依據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Day23Step1CombinedFiltered" displayName="Day23Step1CombinedFiltered" ref="A6:J21" headerRowCount="1" totalsRowCount="0" totalsRowShown="0">
  <x:autoFilter ref="A6:J21"/>
  <x:tableColumns count="10">
    <x:tableColumn id="1" name="序號"/>
    <x:tableColumn id="2" name="日期"/>
    <x:tableColumn id="3" name="地名"/>
    <x:tableColumn id="4" name="類別"/>
    <x:tableColumn id="5" name="細分類"/>
    <x:tableColumn id="6" name="行程"/>
    <x:tableColumn id="7" name="原文"/>
    <x:tableColumn id="8" name="record_level"/>
    <x:tableColumn id="9" name="gis_decision"/>
    <x:tableColumn id="10" name="判斷理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90fc4ec81a4f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16726131d240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cf7c4bb5784d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33b9a860af4f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eaed1bd7a947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12fc3df140a47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e26924c627742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d8bf40cf9d94e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27.780000686645508" hidden="0" customWidth="1"/>
    <x:col min="8" max="8" width="27.780000686645508" hidden="0" customWidth="1"/>
    <x:col min="9" max="9" width="27.780000686645508" hidden="0" customWidth="1"/>
    <x:col min="10" max="10" width="27.780000686645508" hidden="0" customWidth="1"/>
    <x:col min="11" max="11" width="16.110000610351562" hidden="0" customWidth="1"/>
    <x:col min="12" max="12" width="16.110000610351562" hidden="0" customWidth="1"/>
    <x:col min="13" max="13" width="27.780000686645508" hidden="0" customWidth="1"/>
    <x:col min="14" max="14" width="16.110000610351562" hidden="0" customWidth="1"/>
  </x:cols>
  <x:sheetData>
    <x:row r="1" ht="25.5" customHeight="1">
      <x:c r="A1" s="179" t="str">
        <x:v>江右游日記二十三日｜步驟一：抽地名（只保留行程＝經過）</x:v>
      </x:c>
      <x:c r="B1" s="179"/>
      <x:c r="C1" s="179"/>
      <x:c r="D1" s="179"/>
      <x:c r="E1" s="179"/>
      <x:c r="F1" s="179"/>
      <x:c r="G1" s="179"/>
      <x:c r="H1" s="179"/>
      <x:c r="I1" s="179"/>
      <x:c r="J1" s="179"/>
      <x:c r="K1" s="179"/>
      <x:c r="L1" s="179"/>
      <x:c r="M1" s="179"/>
      <x:c r="N1"/>
    </x:row>
    <x:row r="2" ht="43.5" customHeight="1">
      <x:c r="A2" s="186" t="str">
        <x:v>本工作簿的步驟一只保留二十三日「經過」25 筆；行程＝提及不再混入。另設「步驟一_篩除」工作表，保留二十三日經過的 route_auxiliary／excluded 15 筆。</x:v>
      </x:c>
      <x:c r="B2" s="186"/>
      <x:c r="C2" s="186"/>
      <x:c r="D2" s="186"/>
      <x:c r="E2" s="186"/>
      <x:c r="F2" s="186"/>
      <x:c r="G2" s="186"/>
      <x:c r="H2" s="186"/>
      <x:c r="I2" s="186"/>
      <x:c r="J2" s="186"/>
      <x:c r="K2" s="186"/>
      <x:c r="L2" s="186"/>
      <x:c r="M2" s="186"/>
      <x:c r="N2"/>
    </x:row>
    <x:row r="3" ht="18.75" customHeight="1">
      <x:c r="A3" s="190" t="str">
        <x:v>Prompt｜本步驟獨立操作指令</x:v>
      </x:c>
      <x:c r="B3" s="190"/>
      <x:c r="C3" s="190"/>
      <x:c r="D3" s="190"/>
      <x:c r="E3" s="190"/>
      <x:c r="F3" s="190"/>
      <x:c r="G3" s="190"/>
      <x:c r="H3" s="190"/>
      <x:c r="I3" s="190"/>
      <x:c r="J3" s="190"/>
      <x:c r="K3" s="190"/>
      <x:c r="L3" s="190"/>
      <x:c r="M3" s="190"/>
      <x:c r="N3"/>
    </x:row>
    <x:row r="4" ht="75" customHeight="1">
      <x:c r="A4" s="194" t="str">
        <x:v>請只處理《江右游日記》二十三日段落，按出現次序抽取具名地理實體；輸出只保留行程欄等於「經過」的紀錄。輸出序號、日期、地名、類別、細分類、行程及原文；重複出現的地名保留每次紀錄。橋、城門、驛站、碼頭、私人住所、建築內部小物及修辭方向詞，另列入篩除表，不得當作正式地標。</x:v>
      </x:c>
      <x:c r="B4" s="194"/>
      <x:c r="C4" s="194"/>
      <x:c r="D4" s="194"/>
      <x:c r="E4" s="194"/>
      <x:c r="F4" s="194"/>
      <x:c r="G4" s="194"/>
      <x:c r="H4" s="194"/>
      <x:c r="I4" s="194"/>
      <x:c r="J4" s="194"/>
      <x:c r="K4" s="194"/>
      <x:c r="L4" s="194"/>
      <x:c r="M4" s="194"/>
      <x:c r="N4"/>
    </x:row>
    <x:row r="6" ht="36" customHeight="1">
      <x:c r="A6" s="198" t="str">
        <x:v>序號</x:v>
      </x:c>
      <x:c r="B6" s="198" t="str">
        <x:v>日期</x:v>
      </x:c>
      <x:c r="C6" s="198" t="str">
        <x:v>地名</x:v>
      </x:c>
      <x:c r="D6" s="198" t="str">
        <x:v>類別</x:v>
      </x:c>
      <x:c r="E6" s="198" t="str">
        <x:v>細分類</x:v>
      </x:c>
      <x:c r="F6" s="198" t="str">
        <x:v>行程</x:v>
      </x:c>
      <x:c r="G6" s="198" t="str">
        <x:v>原文</x:v>
      </x:c>
      <x:c r="H6" s="198" t="str">
        <x:v>第一地方志配對</x:v>
      </x:c>
      <x:c r="I6" s="198" t="str">
        <x:v>地方志原句</x:v>
      </x:c>
      <x:c r="J6" s="198" t="str">
        <x:v>第二地方志</x:v>
      </x:c>
      <x:c r="K6" s="198" t="str">
        <x:v>record_level</x:v>
      </x:c>
      <x:c r="L6" s="198" t="str">
        <x:v>gis_decision</x:v>
      </x:c>
      <x:c r="M6" s="198" t="str">
        <x:v>判斷理由</x:v>
      </x:c>
      <x:c r="N6"/>
    </x:row>
    <x:row r="7" ht="54" customHeight="1">
      <x:c r="A7" s="104" t="n">
        <x:v>164</x:v>
      </x:c>
      <x:c r="B7" s="104" t="str">
        <x:v>二十三日</x:v>
      </x:c>
      <x:c r="C7" s="104" t="str">
        <x:v>贵溪城</x:v>
      </x:c>
      <x:c r="D7" s="104" t="str">
        <x:v>行政區</x:v>
      </x:c>
      <x:c r="E7" s="104" t="str">
        <x:v>城市／城</x:v>
      </x:c>
      <x:c r="F7" s="104" t="str">
        <x:v>經過</x:v>
      </x:c>
      <x:c r="G7" s="104" t="str">
        <x:v>晨起，渡大溪之北，复西向行，八里，将至贵溪城，忽见溪南一桥门架空，以为城门与卷梁皆无此高跨之理。</x:v>
      </x:c>
      <x:c r="H7" s="104"/>
      <x:c r="I7" s="104"/>
      <x:c r="J7" s="104"/>
      <x:c r="K7" s="104" t="str">
        <x:v>core</x:v>
      </x:c>
      <x:c r="L7" s="104" t="str">
        <x:v>retain</x:v>
      </x:c>
      <x:c r="M7" s="104" t="str">
        <x:v>貴溪城為縣城，作者將至，重要節點。</x:v>
      </x:c>
      <x:c r="N7"/>
    </x:row>
    <x:row r="8" ht="54" customHeight="1">
      <x:c r="A8" s="104" t="n">
        <x:v>185</x:v>
      </x:c>
      <x:c r="B8" s="104" t="str">
        <x:v>二十三日</x:v>
      </x:c>
      <x:c r="C8" s="104" t="str">
        <x:v>张真人墓</x:v>
      </x:c>
      <x:c r="D8" s="104" t="str">
        <x:v>歷史遺址</x:v>
      </x:c>
      <x:c r="E8" s="104" t="str">
        <x:v>墓葬／陵墓</x:v>
      </x:c>
      <x:c r="F8" s="104" t="str">
        <x:v>經過</x:v>
      </x:c>
      <x:c r="G8" s="104" t="str">
        <x:v>于是南经张真人墓。</x:v>
      </x:c>
      <x:c r="H8" s="104"/>
      <x:c r="I8" s="104"/>
      <x:c r="J8" s="104"/>
      <x:c r="K8" s="104" t="str">
        <x:v>core</x:v>
      </x:c>
      <x:c r="L8" s="104" t="str">
        <x:v>retain</x:v>
      </x:c>
      <x:c r="M8" s="104" t="str">
        <x:v>作者實際經過之墓葬（張真人墓），為具名地標</x:v>
      </x:c>
      <x:c r="N8"/>
    </x:row>
    <x:row r="9" ht="54" customHeight="1">
      <x:c r="A9" s="104" t="n">
        <x:v>186</x:v>
      </x:c>
      <x:c r="B9" s="104" t="str">
        <x:v>二十三日</x:v>
      </x:c>
      <x:c r="C9" s="104" t="str">
        <x:v>五面峰</x:v>
      </x:c>
      <x:c r="D9" s="104" t="str">
        <x:v>自然地理</x:v>
      </x:c>
      <x:c r="E9" s="104" t="str">
        <x:v>山峰</x:v>
      </x:c>
      <x:c r="F9" s="104" t="str">
        <x:v>經過</x:v>
      </x:c>
      <x:c r="G9" s="104" t="str">
        <x:v>溪流直逼五面峰下。</x:v>
      </x:c>
      <x:c r="H9" s="104"/>
      <x:c r="I9" s="104"/>
      <x:c r="J9" s="104"/>
      <x:c r="K9" s="104" t="str">
        <x:v>core</x:v>
      </x:c>
      <x:c r="L9" s="104" t="str">
        <x:v>retain</x:v>
      </x:c>
      <x:c r="M9" s="104" t="str">
        <x:v>作者實際抵達之山峰，為穩定地理實體</x:v>
      </x:c>
      <x:c r="N9"/>
    </x:row>
    <x:row r="10" ht="54" customHeight="1">
      <x:c r="A10" s="104" t="n">
        <x:v>190</x:v>
      </x:c>
      <x:c r="B10" s="104" t="str">
        <x:v>二十三日</x:v>
      </x:c>
      <x:c r="C10" s="104" t="str">
        <x:v>一线天</x:v>
      </x:c>
      <x:c r="D10" s="104" t="str">
        <x:v>自然地理</x:v>
      </x:c>
      <x:c r="E10" s="104" t="str">
        <x:v>峽谷</x:v>
      </x:c>
      <x:c r="F10" s="104" t="str">
        <x:v>經過</x:v>
      </x:c>
      <x:c r="G10" s="104" t="str">
        <x:v>余意南下者为一线天，西上者为五面峰也。</x:v>
      </x:c>
      <x:c r="H10" s="104" t="str">
        <x:v>《弋阳县志》卷首〈龟峰图说〉｜識典古籍｜https://www.shidianguji.com/book/NLG312001072192/chapter/1ll4vbz35hwky</x:v>
      </x:c>
      <x:c r="I10" s="104" t="str">
        <x:v>自此逾岭，双崖中裂，曰一线天。</x:v>
      </x:c>
      <x:c r="J10" s="104"/>
      <x:c r="K10" s="104" t="str">
        <x:v>core</x:v>
      </x:c>
      <x:c r="L10" s="104" t="str">
        <x:v>retain</x:v>
      </x:c>
      <x:c r="M10" s="104" t="str">
        <x:v>作者實際遊覽之一線天，為重要自然景觀</x:v>
      </x:c>
      <x:c r="N10"/>
    </x:row>
    <x:row r="11" ht="54" customHeight="1">
      <x:c r="A11" s="104" t="n">
        <x:v>191</x:v>
      </x:c>
      <x:c r="B11" s="104" t="str">
        <x:v>二十三日</x:v>
      </x:c>
      <x:c r="C11" s="104" t="str">
        <x:v>五面峰</x:v>
      </x:c>
      <x:c r="D11" s="104" t="str">
        <x:v>自然地理</x:v>
      </x:c>
      <x:c r="E11" s="104" t="str">
        <x:v>山峰</x:v>
      </x:c>
      <x:c r="F11" s="104" t="str">
        <x:v>經過</x:v>
      </x:c>
      <x:c r="G11" s="104" t="str">
        <x:v>余意南下者为一线天，西上者为五面峰也。</x:v>
      </x:c>
      <x:c r="H11" s="104"/>
      <x:c r="I11" s="104"/>
      <x:c r="J11" s="104"/>
      <x:c r="K11" s="104" t="str">
        <x:v>core</x:v>
      </x:c>
      <x:c r="L11" s="104" t="str">
        <x:v>retain</x:v>
      </x:c>
      <x:c r="M11" s="104" t="str">
        <x:v>作者實際攀登之五面峰，為穩定地理實體</x:v>
      </x:c>
      <x:c r="N11"/>
    </x:row>
    <x:row r="12" ht="54" customHeight="1">
      <x:c r="A12" s="104" t="n">
        <x:v>192</x:v>
      </x:c>
      <x:c r="B12" s="104" t="str">
        <x:v>二十三日</x:v>
      </x:c>
      <x:c r="C12" s="104" t="str">
        <x:v>西华</x:v>
      </x:c>
      <x:c r="D12" s="104" t="str">
        <x:v>自然地理</x:v>
      </x:c>
      <x:c r="E12" s="104" t="str">
        <x:v>山岳</x:v>
      </x:c>
      <x:c r="F12" s="104" t="str">
        <x:v>經過</x:v>
      </x:c>
      <x:c r="G12" s="104" t="str">
        <x:v>先跻峰，攀磴里许而至绝顶，则南瞰西华，东瞰夹壁，西瞰南溪，北瞰城邑，皆在指顾。</x:v>
      </x:c>
      <x:c r="H12" s="104"/>
      <x:c r="I12" s="104"/>
      <x:c r="J12" s="104"/>
      <x:c r="K12" s="104" t="str">
        <x:v>core</x:v>
      </x:c>
      <x:c r="L12" s="104" t="str">
        <x:v>retain</x:v>
      </x:c>
      <x:c r="M12" s="104" t="str">
        <x:v>作者實際眺望之西華山，為穩定地理實體</x:v>
      </x:c>
      <x:c r="N12"/>
    </x:row>
    <x:row r="13" ht="54" customHeight="1">
      <x:c r="A13" s="104" t="n">
        <x:v>195</x:v>
      </x:c>
      <x:c r="B13" s="104" t="str">
        <x:v>二十三日</x:v>
      </x:c>
      <x:c r="C13" s="104" t="str">
        <x:v>一线天</x:v>
      </x:c>
      <x:c r="D13" s="104" t="str">
        <x:v>自然地理</x:v>
      </x:c>
      <x:c r="E13" s="104" t="str">
        <x:v>峽谷</x:v>
      </x:c>
      <x:c r="F13" s="104" t="str">
        <x:v>經過</x:v>
      </x:c>
      <x:c r="G13" s="104" t="str">
        <x:v>复从前磴南下一线天，则两崖并夹而上，直南即从峰顶下剖者，是为直峡。</x:v>
      </x:c>
      <x:c r="H13" s="104" t="str">
        <x:v>《弋阳县志》卷首〈龟峰图说〉｜識典古籍｜https://www.shidianguji.com/book/NLG312001072192/chapter/1ll4vbz35hwky</x:v>
      </x:c>
      <x:c r="I13" s="104" t="str">
        <x:v>自此逾岭，双崖中裂，曰一线天。</x:v>
      </x:c>
      <x:c r="J13" s="104"/>
      <x:c r="K13" s="104" t="str">
        <x:v>core</x:v>
      </x:c>
      <x:c r="L13" s="104" t="str">
        <x:v>retain</x:v>
      </x:c>
      <x:c r="M13" s="104" t="str">
        <x:v>一線天為作者親身經過的具名峽谷或岩隙景觀，屬地理實體，非硬性篩除類型。</x:v>
      </x:c>
      <x:c r="N13"/>
    </x:row>
    <x:row r="14" ht="54" customHeight="1">
      <x:c r="A14" s="104" t="n">
        <x:v>196</x:v>
      </x:c>
      <x:c r="B14" s="104" t="str">
        <x:v>二十三日</x:v>
      </x:c>
      <x:c r="C14" s="104" t="str">
        <x:v>西华</x:v>
      </x:c>
      <x:c r="D14" s="104" t="str">
        <x:v>自然地理</x:v>
      </x:c>
      <x:c r="E14" s="104" t="str">
        <x:v>山岳</x:v>
      </x:c>
      <x:c r="F14" s="104" t="str">
        <x:v>經過</x:v>
      </x:c>
      <x:c r="G14" s="104" t="str">
        <x:v>最南抵西华，以已从五面峰瞰视，遂不复登。</x:v>
      </x:c>
      <x:c r="H14" s="104"/>
      <x:c r="I14" s="104"/>
      <x:c r="J14" s="104"/>
      <x:c r="K14" s="104" t="str">
        <x:v>core</x:v>
      </x:c>
      <x:c r="L14" s="104" t="str">
        <x:v>retain</x:v>
      </x:c>
      <x:c r="M14" s="104" t="str">
        <x:v>作者明確抵達西華山，為具名山岳。</x:v>
      </x:c>
      <x:c r="N14"/>
    </x:row>
    <x:row r="15" ht="54" customHeight="1">
      <x:c r="A15" s="104" t="n">
        <x:v>197</x:v>
      </x:c>
      <x:c r="B15" s="104" t="str">
        <x:v>二十三日</x:v>
      </x:c>
      <x:c r="C15" s="104" t="str">
        <x:v>一线天</x:v>
      </x:c>
      <x:c r="D15" s="104" t="str">
        <x:v>自然地理</x:v>
      </x:c>
      <x:c r="E15" s="104" t="str">
        <x:v>峽谷</x:v>
      </x:c>
      <x:c r="F15" s="104" t="str">
        <x:v>經過</x:v>
      </x:c>
      <x:c r="G15" s="104" t="str">
        <x:v>仍转出一线天，北逾一岭，二里，转而东，入小隐岩。</x:v>
      </x:c>
      <x:c r="H15" s="104" t="str">
        <x:v>《弋阳县志》卷首〈龟峰图说〉｜識典古籍｜https://www.shidianguji.com/book/NLG312001072192/chapter/1ll4vbz35hwky</x:v>
      </x:c>
      <x:c r="I15" s="104" t="str">
        <x:v>自此逾岭，双崖中裂，曰一线天。</x:v>
      </x:c>
      <x:c r="J15" s="104"/>
      <x:c r="K15" s="104" t="str">
        <x:v>core</x:v>
      </x:c>
      <x:c r="L15" s="104" t="str">
        <x:v>retain</x:v>
      </x:c>
      <x:c r="M15" s="104" t="str">
        <x:v>一線天為作者再次經過的具名景觀，親身抵達，非硬性篩除類型。</x:v>
      </x:c>
      <x:c r="N15"/>
    </x:row>
    <x:row r="16" ht="54" customHeight="1">
      <x:c r="A16" s="104" t="n">
        <x:v>198</x:v>
      </x:c>
      <x:c r="B16" s="104" t="str">
        <x:v>二十三日</x:v>
      </x:c>
      <x:c r="C16" s="104" t="str">
        <x:v>小隐岩</x:v>
      </x:c>
      <x:c r="D16" s="104" t="str">
        <x:v>自然地理</x:v>
      </x:c>
      <x:c r="E16" s="104" t="str">
        <x:v>洞穴</x:v>
      </x:c>
      <x:c r="F16" s="104" t="str">
        <x:v>經過</x:v>
      </x:c>
      <x:c r="G16" s="104" t="str">
        <x:v>仍转出一线天，北逾一岭，二里，转而东，入小隐岩。</x:v>
      </x:c>
      <x:c r="H16" s="104"/>
      <x:c r="I16" s="104"/>
      <x:c r="J16" s="104"/>
      <x:c r="K16" s="104" t="str">
        <x:v>pending</x:v>
      </x:c>
      <x:c r="L16" s="104" t="str">
        <x:v>review</x:v>
      </x:c>
      <x:c r="M16" s="104" t="str">
        <x:v>作者進入小隱岩，為具名岩洞，具文化意義但定位待核。</x:v>
      </x:c>
      <x:c r="N16"/>
    </x:row>
    <x:row r="17" ht="54" customHeight="1">
      <x:c r="A17" s="104" t="n">
        <x:v>203</x:v>
      </x:c>
      <x:c r="B17" s="104" t="str">
        <x:v>二十三日</x:v>
      </x:c>
      <x:c r="C17" s="104" t="str">
        <x:v>罗塘</x:v>
      </x:c>
      <x:c r="D17" s="104" t="str">
        <x:v>聚落</x:v>
      </x:c>
      <x:c r="E17" s="104" t="str">
        <x:v>聚落</x:v>
      </x:c>
      <x:c r="F17" s="104" t="str">
        <x:v>經過</x:v>
      </x:c>
      <x:c r="G17" s="104" t="str">
        <x:v>遂由罗塘之大道，过一岭，始北转入山，竹树深蒨岩石高穹；但为释人架屋叠墙，无复本来面目，且知其非徐岩也。</x:v>
      </x:c>
      <x:c r="H17" s="104"/>
      <x:c r="I17" s="104"/>
      <x:c r="J17" s="104"/>
      <x:c r="K17" s="104" t="str">
        <x:v>core</x:v>
      </x:c>
      <x:c r="L17" s="104" t="str">
        <x:v>retain</x:v>
      </x:c>
      <x:c r="M17" s="104" t="str">
        <x:v>羅塘為作者途經之聚落，為穩定地名。</x:v>
      </x:c>
      <x:c r="N17"/>
    </x:row>
    <x:row r="18" ht="54" customHeight="1">
      <x:c r="A18" s="104" t="n">
        <x:v>206</x:v>
      </x:c>
      <x:c r="B18" s="104" t="str">
        <x:v>二十三日</x:v>
      </x:c>
      <x:c r="C18" s="104" t="str">
        <x:v>象山</x:v>
      </x:c>
      <x:c r="D18" s="104" t="str">
        <x:v>自然地理</x:v>
      </x:c>
      <x:c r="E18" s="104" t="str">
        <x:v>山岳</x:v>
      </x:c>
      <x:c r="F18" s="104" t="str">
        <x:v>經過</x:v>
      </x:c>
      <x:c r="G18" s="104" t="str">
        <x:v>从其西二里，将抵象山，问所云徐岩，终不可得。</x:v>
      </x:c>
      <x:c r="H18" s="104"/>
      <x:c r="I18" s="104"/>
      <x:c r="J18" s="104"/>
      <x:c r="K18" s="104" t="str">
        <x:v>core</x:v>
      </x:c>
      <x:c r="L18" s="104" t="str">
        <x:v>retain</x:v>
      </x:c>
      <x:c r="M18" s="104" t="str">
        <x:v>象山為作者前往之具名山岳。</x:v>
      </x:c>
      <x:c r="N18"/>
    </x:row>
    <x:row r="19" ht="54" customHeight="1">
      <x:c r="A19" s="104" t="n">
        <x:v>212</x:v>
      </x:c>
      <x:c r="B19" s="104" t="str">
        <x:v>二十三日</x:v>
      </x:c>
      <x:c r="C19" s="104" t="str">
        <x:v>朝真宫</x:v>
      </x:c>
      <x:c r="D19" s="104" t="str">
        <x:v>宗教文化</x:v>
      </x:c>
      <x:c r="E19" s="104" t="str">
        <x:v>寺廟／宮觀</x:v>
      </x:c>
      <x:c r="F19" s="104" t="str">
        <x:v>經過</x:v>
      </x:c>
      <x:c r="G19" s="104" t="str">
        <x:v>二僧俱新至托宿，问之，亦不知其为徐岩与否，当即所称朝真宫矣。</x:v>
      </x:c>
      <x:c r="H19" s="104"/>
      <x:c r="I19" s="104"/>
      <x:c r="J19" s="104"/>
      <x:c r="K19" s="104" t="str">
        <x:v>pending</x:v>
      </x:c>
      <x:c r="L19" s="104" t="str">
        <x:v>review</x:v>
      </x:c>
      <x:c r="M19" s="104" t="str">
        <x:v>作者托宿之朝真宮，為具名宮觀，定位待核。</x:v>
      </x:c>
      <x:c r="N19"/>
    </x:row>
    <x:row r="20" ht="54" customHeight="1">
      <x:c r="A20" s="104" t="n">
        <x:v>213</x:v>
      </x:c>
      <x:c r="B20" s="104" t="str">
        <x:v>二十三日</x:v>
      </x:c>
      <x:c r="C20" s="104" t="str">
        <x:v>象山</x:v>
      </x:c>
      <x:c r="D20" s="104" t="str">
        <x:v>自然地理</x:v>
      </x:c>
      <x:c r="E20" s="104" t="str">
        <x:v>山岳</x:v>
      </x:c>
      <x:c r="F20" s="104" t="str">
        <x:v>經過</x:v>
      </x:c>
      <x:c r="G20" s="104" t="str">
        <x:v>从暗中出，复西而南寻象山，其地虽暗而路可循，两崖前突，中坞不深而峻，当其中有坊峙焉。</x:v>
      </x:c>
      <x:c r="H20" s="104"/>
      <x:c r="I20" s="104"/>
      <x:c r="J20" s="104"/>
      <x:c r="K20" s="104" t="str">
        <x:v>core</x:v>
      </x:c>
      <x:c r="L20" s="104" t="str">
        <x:v>retain</x:v>
      </x:c>
      <x:c r="M20" s="104" t="str">
        <x:v>象山為作者尋找並抵達之具名山岳。</x:v>
      </x:c>
      <x:c r="N20"/>
    </x:row>
    <x:row r="21" ht="54" customHeight="1">
      <x:c r="A21" s="104" t="n">
        <x:v>620</x:v>
      </x:c>
      <x:c r="B21" s="104" t="str">
        <x:v>二十三日</x:v>
      </x:c>
      <x:c r="C21" s="104" t="str">
        <x:v>曹山</x:v>
      </x:c>
      <x:c r="D21" s="104" t="str">
        <x:v>自然地理</x:v>
      </x:c>
      <x:c r="E21" s="104" t="str">
        <x:v>山岳</x:v>
      </x:c>
      <x:c r="F21" s="104" t="str">
        <x:v>經過</x:v>
      </x:c>
      <x:c r="G21" s="104" t="str">
        <x:v>饭而别观心，出曹山，而雨丝丝下。</x:v>
      </x:c>
      <x:c r="H21" s="104"/>
      <x:c r="I21" s="104"/>
      <x:c r="J21" s="104"/>
      <x:c r="K21" s="104" t="str">
        <x:v>core</x:v>
      </x:c>
      <x:c r="L21" s="104" t="str">
        <x:v>retain</x:v>
      </x:c>
      <x:c r="M21" s="104" t="str">
        <x:v>作者明確離開曹山，為實際身處地點</x:v>
      </x:c>
      <x:c r="N21"/>
    </x:row>
    <x:row r="22" ht="54" customHeight="1">
      <x:c r="A22" s="104" t="n">
        <x:v>625</x:v>
      </x:c>
      <x:c r="B22" s="104" t="str">
        <x:v>二十三日</x:v>
      </x:c>
      <x:c r="C22" s="104" t="str">
        <x:v>崇仁</x:v>
      </x:c>
      <x:c r="D22" s="104" t="str">
        <x:v>行政區</x:v>
      </x:c>
      <x:c r="E22" s="104" t="str">
        <x:v>縣</x:v>
      </x:c>
      <x:c r="F22" s="104" t="str">
        <x:v>經過</x:v>
      </x:c>
      <x:c r="G22" s="104" t="str">
        <x:v>盖溪自曹山后岭北山峡而来，南下而转至鹏风桥者，此流尚细，而宜黄、崇仁之界，因逾接龙桥而西，即为崇之东南境。</x:v>
      </x:c>
      <x:c r="H22" s="104" t="str">
        <x:v>《崇仁县志》卷一〈提封志〉｜識典古籍｜https://www.shidianguji.com/book/NA02851/chapter/1m6jjz17v2qzn</x:v>
      </x:c>
      <x:c r="I22" s="104" t="str">
        <x:v>其东及东北为临川，其南及东南为宜黄，其西及西南为乐安，其北及西北为丰城。</x:v>
      </x:c>
      <x:c r="J22" s="104"/>
      <x:c r="K22" s="104" t="str">
        <x:v>core</x:v>
      </x:c>
      <x:c r="L22" s="104" t="str">
        <x:v>retain</x:v>
      </x:c>
      <x:c r="M22" s="104" t="str">
        <x:v>作者明確進入崇仁縣境，為行政區劃</x:v>
      </x:c>
      <x:c r="N22"/>
    </x:row>
    <x:row r="23" ht="54" customHeight="1">
      <x:c r="A23" s="104" t="n">
        <x:v>626</x:v>
      </x:c>
      <x:c r="B23" s="104" t="str">
        <x:v>二十三日</x:v>
      </x:c>
      <x:c r="C23" s="104" t="str">
        <x:v>大霍岭</x:v>
      </x:c>
      <x:c r="D23" s="104" t="str">
        <x:v>自然地理</x:v>
      </x:c>
      <x:c r="E23" s="104" t="str">
        <x:v>山岳</x:v>
      </x:c>
      <x:c r="F23" s="104" t="str">
        <x:v>經過</x:v>
      </x:c>
      <x:c r="G23" s="104" t="str">
        <x:v>从此入山共三里，逾大霍岭，直逼龙骨山下。</x:v>
      </x:c>
      <x:c r="H23" s="104"/>
      <x:c r="I23" s="104"/>
      <x:c r="J23" s="104"/>
      <x:c r="K23" s="104" t="str">
        <x:v>core</x:v>
      </x:c>
      <x:c r="L23" s="104" t="str">
        <x:v>retain</x:v>
      </x:c>
      <x:c r="M23" s="104" t="str">
        <x:v>作者翻越大霍嶺，為具名山嶺</x:v>
      </x:c>
      <x:c r="N23"/>
    </x:row>
    <x:row r="24" ht="54" customHeight="1">
      <x:c r="A24" s="104" t="n">
        <x:v>627</x:v>
      </x:c>
      <x:c r="B24" s="104" t="str">
        <x:v>二十三日</x:v>
      </x:c>
      <x:c r="C24" s="104" t="str">
        <x:v>龙骨山</x:v>
      </x:c>
      <x:c r="D24" s="104" t="str">
        <x:v>自然地理</x:v>
      </x:c>
      <x:c r="E24" s="104" t="str">
        <x:v>山岳</x:v>
      </x:c>
      <x:c r="F24" s="104" t="str">
        <x:v>經過</x:v>
      </x:c>
      <x:c r="G24" s="104" t="str">
        <x:v>从此入山共三里，逾大霍岭，直逼龙骨山下。</x:v>
      </x:c>
      <x:c r="H24" s="104"/>
      <x:c r="I24" s="104"/>
      <x:c r="J24" s="104"/>
      <x:c r="K24" s="104" t="str">
        <x:v>core</x:v>
      </x:c>
      <x:c r="L24" s="104" t="str">
        <x:v>retain</x:v>
      </x:c>
      <x:c r="M24" s="104" t="str">
        <x:v>作者直逼龍骨山下，為具名山岳</x:v>
      </x:c>
      <x:c r="N24"/>
    </x:row>
    <x:row r="25" ht="54" customHeight="1">
      <x:c r="A25" s="104" t="n">
        <x:v>628</x:v>
      </x:c>
      <x:c r="B25" s="104" t="str">
        <x:v>二十三日</x:v>
      </x:c>
      <x:c r="C25" s="104" t="str">
        <x:v>骨岭</x:v>
      </x:c>
      <x:c r="D25" s="104" t="str">
        <x:v>自然地理</x:v>
      </x:c>
      <x:c r="E25" s="104" t="str">
        <x:v>山岳</x:v>
      </x:c>
      <x:c r="F25" s="104" t="str">
        <x:v>經過</x:v>
      </x:c>
      <x:c r="G25" s="104" t="str">
        <x:v>又二里，逾骨岭，水犹东注。</x:v>
      </x:c>
      <x:c r="H25" s="104"/>
      <x:c r="I25" s="104"/>
      <x:c r="J25" s="104"/>
      <x:c r="K25" s="104" t="str">
        <x:v>core</x:v>
      </x:c>
      <x:c r="L25" s="104" t="str">
        <x:v>retain</x:v>
      </x:c>
      <x:c r="M25" s="104" t="str">
        <x:v>作者翻越骨嶺，為具名山嶺</x:v>
      </x:c>
      <x:c r="N25"/>
    </x:row>
    <x:row r="26" ht="54" customHeight="1">
      <x:c r="A26" s="104" t="n">
        <x:v>629</x:v>
      </x:c>
      <x:c r="B26" s="104" t="str">
        <x:v>二十三日</x:v>
      </x:c>
      <x:c r="C26" s="104" t="str">
        <x:v>幞头岭</x:v>
      </x:c>
      <x:c r="D26" s="104" t="str">
        <x:v>自然地理</x:v>
      </x:c>
      <x:c r="E26" s="104" t="str">
        <x:v>山岳</x:v>
      </x:c>
      <x:c r="F26" s="104" t="str">
        <x:v>經過</x:v>
      </x:c>
      <x:c r="G26" s="104" t="str">
        <x:v>又三里，下幞头岭，水始西流。</x:v>
      </x:c>
      <x:c r="H26" s="104"/>
      <x:c r="I26" s="104"/>
      <x:c r="J26" s="104"/>
      <x:c r="K26" s="104" t="str">
        <x:v>core</x:v>
      </x:c>
      <x:c r="L26" s="104" t="str">
        <x:v>retain</x:v>
      </x:c>
      <x:c r="M26" s="104" t="str">
        <x:v>作者下幞頭嶺，為具名山嶺</x:v>
      </x:c>
      <x:c r="N26"/>
    </x:row>
    <x:row r="27" ht="54" customHeight="1">
      <x:c r="A27" s="104" t="n">
        <x:v>630</x:v>
      </x:c>
      <x:c r="B27" s="104" t="str">
        <x:v>二十三日</x:v>
      </x:c>
      <x:c r="C27" s="104" t="str">
        <x:v>纯乡</x:v>
      </x:c>
      <x:c r="D27" s="104" t="str">
        <x:v>聚落</x:v>
      </x:c>
      <x:c r="E27" s="104" t="str">
        <x:v>聚落</x:v>
      </x:c>
      <x:c r="F27" s="104" t="str">
        <x:v>經過</x:v>
      </x:c>
      <x:c r="G27" s="104" t="str">
        <x:v>又四里至纯乡，则一溪自南而北矣。</x:v>
      </x:c>
      <x:c r="H27" s="104"/>
      <x:c r="I27" s="104"/>
      <x:c r="J27" s="104"/>
      <x:c r="K27" s="104" t="str">
        <x:v>core</x:v>
      </x:c>
      <x:c r="L27" s="104" t="str">
        <x:v>retain</x:v>
      </x:c>
      <x:c r="M27" s="104" t="str">
        <x:v>作者抵達純鄉，為具名聚落</x:v>
      </x:c>
      <x:c r="N27"/>
    </x:row>
    <x:row r="28" ht="54" customHeight="1">
      <x:c r="A28" s="104" t="n">
        <x:v>631</x:v>
      </x:c>
      <x:c r="B28" s="104" t="str">
        <x:v>二十三日</x:v>
      </x:c>
      <x:c r="C28" s="104" t="str">
        <x:v>纯乡村</x:v>
      </x:c>
      <x:c r="D28" s="104" t="str">
        <x:v>村莊</x:v>
      </x:c>
      <x:c r="E28" s="104" t="str">
        <x:v>村莊／寨</x:v>
      </x:c>
      <x:c r="F28" s="104" t="str">
        <x:v>經過</x:v>
      </x:c>
      <x:c r="G28" s="104" t="str">
        <x:v>渡溪桥是为纯乡村，有居民颇众。</x:v>
      </x:c>
      <x:c r="H28" s="104"/>
      <x:c r="I28" s="104"/>
      <x:c r="J28" s="104"/>
      <x:c r="K28" s="104" t="str">
        <x:v>pending</x:v>
      </x:c>
      <x:c r="L28" s="104" t="str">
        <x:v>review</x:v>
      </x:c>
      <x:c r="M28" s="104" t="str">
        <x:v>作者描述純鄉村，為具名村莊；外部唯一對應未核</x:v>
      </x:c>
      <x:c r="N28"/>
    </x:row>
    <x:row r="29" ht="54" customHeight="1">
      <x:c r="A29" s="104" t="n">
        <x:v>633</x:v>
      </x:c>
      <x:c r="B29" s="104" t="str">
        <x:v>二十三日</x:v>
      </x:c>
      <x:c r="C29" s="104" t="str">
        <x:v>干冈岭</x:v>
      </x:c>
      <x:c r="D29" s="104" t="str">
        <x:v>自然地理</x:v>
      </x:c>
      <x:c r="E29" s="104" t="str">
        <x:v>山岳</x:v>
      </x:c>
      <x:c r="F29" s="104" t="str">
        <x:v>經過</x:v>
      </x:c>
      <x:c r="G29" s="104" t="str">
        <x:v>南循小水一里，西登干冈岭，岭颇峻，逾岭而下，纯西南行矣。</x:v>
      </x:c>
      <x:c r="H29" s="104"/>
      <x:c r="I29" s="104"/>
      <x:c r="J29" s="104"/>
      <x:c r="K29" s="104" t="str">
        <x:v>core</x:v>
      </x:c>
      <x:c r="L29" s="104" t="str">
        <x:v>retain</x:v>
      </x:c>
      <x:c r="M29" s="104" t="str">
        <x:v>作者登越干岡嶺，為具名山嶺</x:v>
      </x:c>
      <x:c r="N29"/>
    </x:row>
    <x:row r="30" ht="54" customHeight="1">
      <x:c r="A30" s="104" t="n">
        <x:v>636</x:v>
      </x:c>
      <x:c r="B30" s="104" t="str">
        <x:v>二十三日</x:v>
      </x:c>
      <x:c r="C30" s="104" t="str">
        <x:v>巴溪</x:v>
      </x:c>
      <x:c r="D30" s="104" t="str">
        <x:v>水系</x:v>
      </x:c>
      <x:c r="E30" s="104" t="str">
        <x:v>江河</x:v>
      </x:c>
      <x:c r="F30" s="104" t="str">
        <x:v>經過</x:v>
      </x:c>
      <x:c r="G30" s="104" t="str">
        <x:v>又西五里，过练树桥，桥跨巴溪之上。</x:v>
      </x:c>
      <x:c r="H30" s="104"/>
      <x:c r="I30" s="104"/>
      <x:c r="J30" s="104"/>
      <x:c r="K30" s="104" t="str">
        <x:v>core</x:v>
      </x:c>
      <x:c r="L30" s="104" t="str">
        <x:v>retain</x:v>
      </x:c>
      <x:c r="M30" s="104" t="str">
        <x:v>巴溪為具名河流，作者經過其橋</x:v>
      </x:c>
      <x:c r="N30"/>
    </x:row>
    <x:row r="31" ht="54" customHeight="1">
      <x:c r="A31" s="26" t="n">
        <x:v>650</x:v>
      </x:c>
      <x:c r="B31" s="26" t="str">
        <x:v>二十三日</x:v>
      </x:c>
      <x:c r="C31" s="26" t="str">
        <x:v>朱碧街</x:v>
      </x:c>
      <x:c r="D31" s="26" t="str">
        <x:v>聚落</x:v>
      </x:c>
      <x:c r="E31" s="26" t="str">
        <x:v>聚落</x:v>
      </x:c>
      <x:c r="F31" s="26" t="str">
        <x:v>經過</x:v>
      </x:c>
      <x:c r="G31" s="26" t="str">
        <x:v>自练树桥又五里而至朱碧街。</x:v>
      </x:c>
      <x:c r="H31" s="26"/>
      <x:c r="I31" s="26"/>
      <x:c r="J31" s="26"/>
      <x:c r="K31" s="26" t="str">
        <x:v>core</x:v>
      </x:c>
      <x:c r="L31" s="26" t="str">
        <x:v>retain</x:v>
      </x:c>
      <x:c r="M31" s="26" t="str">
        <x:v>作者明確從練樹橋行五里抵達朱碧街，為實際經過的聚落。</x:v>
      </x:c>
      <x:c r="N31"/>
    </x:row>
    <x:row r="32" ht="58.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 ht="58.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 ht="58.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 ht="58.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58.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58.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58.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58.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58.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58.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58.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 ht="58.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 ht="58.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 ht="58.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 ht="58.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 ht="58.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 ht="58.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 ht="58.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 ht="58.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 ht="58.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 ht="58.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 ht="58.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 ht="58.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 ht="58.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 ht="58.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 ht="58.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 ht="58.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 ht="58.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 ht="58.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 ht="58.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 ht="58.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 ht="58.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 ht="58.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 ht="58.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 ht="58.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 ht="58.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 ht="58.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 ht="58.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 ht="58.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 ht="58.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</x:sheetData>
  <x:mergeCells>
    <x:mergeCell ref="A1:M1"/>
    <x:mergeCell ref="A2:M2"/>
    <x:mergeCell ref="A3:M3"/>
    <x:mergeCell ref="A4:M4"/>
  </x:mergeCells>
  <x:pageMargins left="0.7" right="0.7" top="0.75" bottom="0.75" header="0.3" footer="0.3"/>
  <x:tableParts count="1">
    <x:tablePart xmlns:r="http://schemas.openxmlformats.org/officeDocument/2006/relationships" r:id="Ra190fc4ec81a4f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28.889999389648438" hidden="0" customWidth="1"/>
    <x:col min="4" max="4" width="16.110000610351562" hidden="0" customWidth="1"/>
    <x:col min="5" max="5" width="16.110000610351562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6.110000610351562" hidden="0" customWidth="1"/>
    <x:col min="11" max="11" width="13.329999923706055" hidden="0" customWidth="1"/>
    <x:col min="12" max="12" width="13.329999923706055" hidden="0" customWidth="1"/>
    <x:col min="13" max="13" width="16.110000610351562" hidden="0" customWidth="1"/>
    <x:col min="14" max="14" width="13.329999923706055" hidden="0" customWidth="1"/>
    <x:col min="15" max="15" width="13.329999923706055" hidden="0" customWidth="1"/>
    <x:col min="16" max="16" width="28.889999389648438" hidden="0" customWidth="1"/>
    <x:col min="17" max="17" width="28.889999389648438" hidden="0" customWidth="1"/>
    <x:col min="18" max="18" width="28.889999389648438" hidden="0" customWidth="1"/>
    <x:col min="19" max="19" width="28.889999389648438" hidden="0" customWidth="1"/>
  </x:cols>
  <x:sheetData>
    <x:row r="1" ht="24" customHeight="1">
      <x:c r="A1" s="32" t="str">
        <x:v>江右游日記二十三日｜步驟二：古代地區與現代地區配對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</x:row>
    <x:row r="2" ht="28.5" customHeight="1">
      <x:c r="A2" s="8" t="str">
        <x:f>"二十三日結果｜"&amp;COUNTA(A7:A31)&amp;" 筆｜"&amp;"古代隸屬 24 confirmed；古今關係 15 probable／9 review"</x:f>
        <x:v>二十三日結果｜25 筆｜古代隸屬 24 confirmed；古今關係 15 probable／9 review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3" ht="18.75" customHeight="1">
      <x:c r="A3" s="12" t="str">
        <x:v>Prompt｜本步驟獨立操作指令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78.75" customHeight="1">
      <x:c r="A4" s="16" t="str">
        <x:v>請把二十三日的每筆經過地點配對到 1636 年古代行政層級：承宣布政使司→府（直隸州）→州→縣，再配對現代省級、地級、縣級。保留古今關係、配對狀態、來源及衝突；現代同名不得單獨視為同一地點。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</x:row>
    <x:row r="6" ht="36" customHeight="1">
      <x:c r="A6" s="36" t="str">
        <x:v>行程序號</x:v>
      </x:c>
      <x:c r="B6" s="36" t="str">
        <x:v>日期</x:v>
      </x:c>
      <x:c r="C6" s="36" t="str">
        <x:v>古代地名（原文）</x:v>
      </x:c>
      <x:c r="D6" s="36" t="str">
        <x:v>地物類型</x:v>
      </x:c>
      <x:c r="E6" s="36" t="str">
        <x:v>承宣布政使司</x:v>
      </x:c>
      <x:c r="F6" s="36" t="str">
        <x:v>府（直隸州）</x:v>
      </x:c>
      <x:c r="G6" s="36" t="str">
        <x:v>州</x:v>
      </x:c>
      <x:c r="H6" s="36" t="str">
        <x:v>縣</x:v>
      </x:c>
      <x:c r="I6" s="36" t="str">
        <x:v>現代省級</x:v>
      </x:c>
      <x:c r="J6" s="36" t="str">
        <x:v>現代地級</x:v>
      </x:c>
      <x:c r="K6" s="36" t="str">
        <x:v>現代縣級</x:v>
      </x:c>
      <x:c r="L6" s="36" t="str">
        <x:v>現代地名</x:v>
      </x:c>
      <x:c r="M6" s="36" t="str">
        <x:v>古今關係</x:v>
      </x:c>
      <x:c r="N6" s="36" t="str">
        <x:v>配對狀態</x:v>
      </x:c>
      <x:c r="O6" s="36" t="str">
        <x:v>古代隸屬狀態</x:v>
      </x:c>
      <x:c r="P6" s="36" t="str">
        <x:v>判斷說明</x:v>
      </x:c>
      <x:c r="Q6" s="36" t="str">
        <x:v>原文</x:v>
      </x:c>
      <x:c r="R6" s="36" t="str">
        <x:v>明代行政來源</x:v>
      </x:c>
      <x:c r="S6" s="36" t="str">
        <x:v>現代行政來源</x:v>
      </x:c>
    </x:row>
    <x:row r="7" ht="58.5" customHeight="1">
      <x:c r="A7" s="25" t="n">
        <x:v>164</x:v>
      </x:c>
      <x:c r="B7" s="25" t="str">
        <x:v>二十三日</x:v>
      </x:c>
      <x:c r="C7" s="27" t="str">
        <x:v>贵溪城</x:v>
      </x:c>
      <x:c r="D7" s="25" t="str">
        <x:v>城市／城</x:v>
      </x:c>
      <x:c r="E7" s="25" t="str">
        <x:v>江西等處承宣布政使司</x:v>
      </x:c>
      <x:c r="F7" s="25" t="str">
        <x:v>廣信府</x:v>
      </x:c>
      <x:c r="G7" s="25"/>
      <x:c r="H7" s="25" t="str">
        <x:v>貴溪縣</x:v>
      </x:c>
      <x:c r="I7" s="25" t="str">
        <x:v>江西省</x:v>
      </x:c>
      <x:c r="J7" s="25" t="str">
        <x:v>鷹潭市</x:v>
      </x:c>
      <x:c r="K7" s="25" t="str">
        <x:v>貴溪市</x:v>
      </x:c>
      <x:c r="L7" s="25" t="str">
        <x:v>貴溪市城區</x:v>
      </x:c>
      <x:c r="M7" s="25" t="str">
        <x:v>古縣城／今市區</x:v>
      </x:c>
      <x:c r="N7" s="25" t="str">
        <x:v>confirmed</x:v>
      </x:c>
      <x:c r="O7" s="25" t="str">
        <x:v>confirmed</x:v>
      </x:c>
      <x:c r="P7" s="25" t="str">
        <x:v>行政地名按CHGIS 1636年沿革及其現代位置欄配對。</x:v>
      </x:c>
      <x:c r="Q7" s="27" t="str">
        <x:v>晨起，渡大溪之北，复西向行，八里，将至贵溪城，忽见溪南一桥门架空，以为城门与卷梁皆无此高跨之理。</x:v>
      </x:c>
      <x:c r="R7" s="25" t="str">
        <x:v>https://chgis.hudci.org/tgaz/placename/hvd_41204</x:v>
      </x:c>
      <x:c r="S7" s="25" t="str">
        <x:v>https://zjj.ganzhou.gov.cn/attachment/cmsfile/59617910d5353fbf94a7cb7161d1e1b3b4247.pdf</x:v>
      </x:c>
    </x:row>
    <x:row r="8" ht="58.5" customHeight="1">
      <x:c r="A8" s="25" t="n">
        <x:v>185</x:v>
      </x:c>
      <x:c r="B8" s="25" t="str">
        <x:v>二十三日</x:v>
      </x:c>
      <x:c r="C8" s="27" t="str">
        <x:v>张真人墓</x:v>
      </x:c>
      <x:c r="D8" s="25" t="str">
        <x:v>墓葬／陵墓</x:v>
      </x:c>
      <x:c r="E8" s="25" t="str">
        <x:v>江西等處承宣布政使司</x:v>
      </x:c>
      <x:c r="F8" s="25" t="str">
        <x:v>廣信府</x:v>
      </x:c>
      <x:c r="G8" s="25"/>
      <x:c r="H8" s="25" t="str">
        <x:v>貴溪縣</x:v>
      </x:c>
      <x:c r="I8" s="25" t="str">
        <x:v>江西省</x:v>
      </x:c>
      <x:c r="J8" s="25" t="str">
        <x:v>鷹潭市</x:v>
      </x:c>
      <x:c r="K8" s="25" t="str">
        <x:v>貴溪市</x:v>
      </x:c>
      <x:c r="L8" s="25" t="str">
        <x:v>待考</x:v>
      </x:c>
      <x:c r="M8" s="25" t="str">
        <x:v>僅確定至現代縣級</x:v>
      </x:c>
      <x:c r="N8" s="25" t="str">
        <x:v>review</x:v>
      </x:c>
      <x:c r="O8" s="25" t="str">
        <x:v>confirmed</x:v>
      </x:c>
      <x:c r="P8" s="25" t="str">
        <x:v>張真人墓為貴溪市境內墓葬，無可靠唯一對應現代名稱，可能為當地文物點，需實地考證。</x:v>
      </x:c>
      <x:c r="Q8" s="27" t="str">
        <x:v>于是南经张真人墓。</x:v>
      </x:c>
      <x:c r="R8" s="25" t="str">
        <x:v>https://chgis.hudci.org/tgaz/placename/hvd_41204</x:v>
      </x:c>
      <x:c r="S8" s="25" t="str">
        <x:v>https://zjj.ganzhou.gov.cn/attachment/cmsfile/59617910d5353fbf94a7cb7161d1e1b3b4247.pdf</x:v>
      </x:c>
    </x:row>
    <x:row r="9" ht="58.5" customHeight="1">
      <x:c r="A9" s="25" t="n">
        <x:v>186</x:v>
      </x:c>
      <x:c r="B9" s="25" t="str">
        <x:v>二十三日</x:v>
      </x:c>
      <x:c r="C9" s="27" t="str">
        <x:v>五面峰</x:v>
      </x:c>
      <x:c r="D9" s="25" t="str">
        <x:v>山峰</x:v>
      </x:c>
      <x:c r="E9" s="25" t="str">
        <x:v>江西等處承宣布政使司</x:v>
      </x:c>
      <x:c r="F9" s="25" t="str">
        <x:v>廣信府</x:v>
      </x:c>
      <x:c r="G9" s="25"/>
      <x:c r="H9" s="25" t="str">
        <x:v>貴溪縣</x:v>
      </x:c>
      <x:c r="I9" s="25" t="str">
        <x:v>江西省</x:v>
      </x:c>
      <x:c r="J9" s="25" t="str">
        <x:v>鷹潭市</x:v>
      </x:c>
      <x:c r="K9" s="25" t="str">
        <x:v>貴溪市</x:v>
      </x:c>
      <x:c r="L9" s="25" t="str">
        <x:v>五面峰</x:v>
      </x:c>
      <x:c r="M9" s="25" t="str">
        <x:v>同名沿用</x:v>
      </x:c>
      <x:c r="N9" s="25" t="str">
        <x:v>probable</x:v>
      </x:c>
      <x:c r="O9" s="25" t="str">
        <x:v>confirmed</x:v>
      </x:c>
      <x:c r="P9" s="25" t="str">
        <x:v>五面峰在貴溪市境內，為龍虎山景區山峰，古今名稱一致，但僅憑名稱沿用推斷，故列probable。</x:v>
      </x:c>
      <x:c r="Q9" s="27" t="str">
        <x:v>溪流直逼五面峰下。</x:v>
      </x:c>
      <x:c r="R9" s="25" t="str">
        <x:v>https://chgis.hudci.org/tgaz/placename/hvd_41204</x:v>
      </x:c>
      <x:c r="S9" s="25" t="str">
        <x:v>https://zjj.ganzhou.gov.cn/attachment/cmsfile/59617910d5353fbf94a7cb7161d1e1b3b4247.pdf</x:v>
      </x:c>
    </x:row>
    <x:row r="10" ht="58.5" customHeight="1">
      <x:c r="A10" s="25" t="n">
        <x:v>190</x:v>
      </x:c>
      <x:c r="B10" s="25" t="str">
        <x:v>二十三日</x:v>
      </x:c>
      <x:c r="C10" s="27" t="str">
        <x:v>一线天</x:v>
      </x:c>
      <x:c r="D10" s="25" t="str">
        <x:v>峽谷</x:v>
      </x:c>
      <x:c r="E10" s="25" t="str">
        <x:v>江西等處承宣布政使司</x:v>
      </x:c>
      <x:c r="F10" s="25" t="str">
        <x:v>廣信府</x:v>
      </x:c>
      <x:c r="G10" s="25"/>
      <x:c r="H10" s="25" t="str">
        <x:v>貴溪縣</x:v>
      </x:c>
      <x:c r="I10" s="25" t="str">
        <x:v>江西省</x:v>
      </x:c>
      <x:c r="J10" s="25" t="str">
        <x:v>鷹潭市</x:v>
      </x:c>
      <x:c r="K10" s="25" t="str">
        <x:v>貴溪市</x:v>
      </x:c>
      <x:c r="L10" s="25" t="str">
        <x:v>一線天</x:v>
      </x:c>
      <x:c r="M10" s="25" t="str">
        <x:v>同名沿用</x:v>
      </x:c>
      <x:c r="N10" s="25" t="str">
        <x:v>probable</x:v>
      </x:c>
      <x:c r="O10" s="25" t="str">
        <x:v>confirmed</x:v>
      </x:c>
      <x:c r="P10" s="25" t="str">
        <x:v>一線天在貴溪市境內，為龍虎山景區著名峽谷，古今名稱一致，但僅憑名稱沿用推斷，故列probable。</x:v>
      </x:c>
      <x:c r="Q10" s="27" t="str">
        <x:v>余意南下者为一线天，西上者为五面峰也。</x:v>
      </x:c>
      <x:c r="R10" s="25" t="str">
        <x:v>https://chgis.hudci.org/tgaz/placename/hvd_41204</x:v>
      </x:c>
      <x:c r="S10" s="25" t="str">
        <x:v>https://zjj.ganzhou.gov.cn/attachment/cmsfile/59617910d5353fbf94a7cb7161d1e1b3b4247.pdf</x:v>
      </x:c>
    </x:row>
    <x:row r="11" ht="58.5" customHeight="1">
      <x:c r="A11" s="25" t="n">
        <x:v>191</x:v>
      </x:c>
      <x:c r="B11" s="25" t="str">
        <x:v>二十三日</x:v>
      </x:c>
      <x:c r="C11" s="27" t="str">
        <x:v>五面峰</x:v>
      </x:c>
      <x:c r="D11" s="25" t="str">
        <x:v>山峰</x:v>
      </x:c>
      <x:c r="E11" s="25" t="str">
        <x:v>江西等處承宣布政使司</x:v>
      </x:c>
      <x:c r="F11" s="25" t="str">
        <x:v>廣信府</x:v>
      </x:c>
      <x:c r="G11" s="25"/>
      <x:c r="H11" s="25" t="str">
        <x:v>貴溪縣</x:v>
      </x:c>
      <x:c r="I11" s="25" t="str">
        <x:v>江西省</x:v>
      </x:c>
      <x:c r="J11" s="25" t="str">
        <x:v>鷹潭市</x:v>
      </x:c>
      <x:c r="K11" s="25" t="str">
        <x:v>貴溪市</x:v>
      </x:c>
      <x:c r="L11" s="25" t="str">
        <x:v>五面峰</x:v>
      </x:c>
      <x:c r="M11" s="25" t="str">
        <x:v>同名沿用</x:v>
      </x:c>
      <x:c r="N11" s="25" t="str">
        <x:v>probable</x:v>
      </x:c>
      <x:c r="O11" s="25" t="str">
        <x:v>confirmed</x:v>
      </x:c>
      <x:c r="P11" s="25" t="str">
        <x:v>五面峰在貴溪市境內，為龍虎山景區山峰，古今名稱一致，但僅憑名稱沿用推斷，故列probable。</x:v>
      </x:c>
      <x:c r="Q11" s="27" t="str">
        <x:v>余意南下者为一线天，西上者为五面峰也。</x:v>
      </x:c>
      <x:c r="R11" s="25" t="str">
        <x:v>https://chgis.hudci.org/tgaz/placename/hvd_41204</x:v>
      </x:c>
      <x:c r="S11" s="25" t="str">
        <x:v>https://zjj.ganzhou.gov.cn/attachment/cmsfile/59617910d5353fbf94a7cb7161d1e1b3b4247.pdf</x:v>
      </x:c>
    </x:row>
    <x:row r="12" ht="58.5" customHeight="1">
      <x:c r="A12" s="25" t="n">
        <x:v>192</x:v>
      </x:c>
      <x:c r="B12" s="25" t="str">
        <x:v>二十三日</x:v>
      </x:c>
      <x:c r="C12" s="27" t="str">
        <x:v>西华</x:v>
      </x:c>
      <x:c r="D12" s="25" t="str">
        <x:v>山岳</x:v>
      </x:c>
      <x:c r="E12" s="25" t="str">
        <x:v>江西等處承宣布政使司</x:v>
      </x:c>
      <x:c r="F12" s="25" t="str">
        <x:v>廣信府</x:v>
      </x:c>
      <x:c r="G12" s="25"/>
      <x:c r="H12" s="25" t="str">
        <x:v>貴溪縣</x:v>
      </x:c>
      <x:c r="I12" s="25" t="str">
        <x:v>江西省</x:v>
      </x:c>
      <x:c r="J12" s="25" t="str">
        <x:v>鷹潭市</x:v>
      </x:c>
      <x:c r="K12" s="25" t="str">
        <x:v>貴溪市</x:v>
      </x:c>
      <x:c r="L12" s="25" t="str">
        <x:v>西華山</x:v>
      </x:c>
      <x:c r="M12" s="25" t="str">
        <x:v>同名沿用</x:v>
      </x:c>
      <x:c r="N12" s="25" t="str">
        <x:v>probable</x:v>
      </x:c>
      <x:c r="O12" s="25" t="str">
        <x:v>confirmed</x:v>
      </x:c>
      <x:c r="P12" s="25" t="str">
        <x:v>西華在貴溪市境內，即西華山，為龍虎山景區山岳，古今名稱一致，但僅憑名稱沿用推斷，故列probable。</x:v>
      </x:c>
      <x:c r="Q12" s="27" t="str">
        <x:v>先跻峰，攀磴里许而至绝顶，则南瞰西华，东瞰夹壁，西瞰南溪，北瞰城邑，皆在指顾。</x:v>
      </x:c>
      <x:c r="R12" s="25" t="str">
        <x:v>https://chgis.hudci.org/tgaz/placename/hvd_41204</x:v>
      </x:c>
      <x:c r="S12" s="25" t="str">
        <x:v>https://zjj.ganzhou.gov.cn/attachment/cmsfile/59617910d5353fbf94a7cb7161d1e1b3b4247.pdf</x:v>
      </x:c>
    </x:row>
    <x:row r="13" ht="58.5" customHeight="1">
      <x:c r="A13" s="25" t="n">
        <x:v>195</x:v>
      </x:c>
      <x:c r="B13" s="25" t="str">
        <x:v>二十三日</x:v>
      </x:c>
      <x:c r="C13" s="27" t="str">
        <x:v>一线天</x:v>
      </x:c>
      <x:c r="D13" s="25" t="str">
        <x:v>峽谷</x:v>
      </x:c>
      <x:c r="E13" s="25" t="str">
        <x:v>江西等處承宣布政使司</x:v>
      </x:c>
      <x:c r="F13" s="25" t="str">
        <x:v>廣信府</x:v>
      </x:c>
      <x:c r="G13" s="25"/>
      <x:c r="H13" s="25" t="str">
        <x:v>貴溪縣</x:v>
      </x:c>
      <x:c r="I13" s="25" t="str">
        <x:v>江西省</x:v>
      </x:c>
      <x:c r="J13" s="25" t="str">
        <x:v>鷹潭市</x:v>
      </x:c>
      <x:c r="K13" s="25" t="str">
        <x:v>貴溪市</x:v>
      </x:c>
      <x:c r="L13" s="25" t="str">
        <x:v>一線天</x:v>
      </x:c>
      <x:c r="M13" s="25" t="str">
        <x:v>同名沿用</x:v>
      </x:c>
      <x:c r="N13" s="25" t="str">
        <x:v>probable</x:v>
      </x:c>
      <x:c r="O13" s="25" t="str">
        <x:v>confirmed</x:v>
      </x:c>
      <x:c r="P13" s="25" t="str">
        <x:v>一線天在貴溪市境內，為龍虎山景區著名峽谷，古今名稱一致，但僅憑名稱沿用推斷，故列probable。</x:v>
      </x:c>
      <x:c r="Q13" s="27" t="str">
        <x:v>复从前磴南下一线天，则两崖并夹而上，直南即从峰顶下剖者，是为直峡。</x:v>
      </x:c>
      <x:c r="R13" s="25" t="str">
        <x:v>https://chgis.hudci.org/tgaz/placename/hvd_41204</x:v>
      </x:c>
      <x:c r="S13" s="25" t="str">
        <x:v>https://zjj.ganzhou.gov.cn/attachment/cmsfile/59617910d5353fbf94a7cb7161d1e1b3b4247.pdf</x:v>
      </x:c>
    </x:row>
    <x:row r="14" ht="58.5" customHeight="1">
      <x:c r="A14" s="25" t="n">
        <x:v>196</x:v>
      </x:c>
      <x:c r="B14" s="25" t="str">
        <x:v>二十三日</x:v>
      </x:c>
      <x:c r="C14" s="27" t="str">
        <x:v>西华</x:v>
      </x:c>
      <x:c r="D14" s="25" t="str">
        <x:v>山岳</x:v>
      </x:c>
      <x:c r="E14" s="25" t="str">
        <x:v>江西等處承宣布政使司</x:v>
      </x:c>
      <x:c r="F14" s="25" t="str">
        <x:v>廣信府</x:v>
      </x:c>
      <x:c r="G14" s="25"/>
      <x:c r="H14" s="25" t="str">
        <x:v>貴溪縣</x:v>
      </x:c>
      <x:c r="I14" s="25" t="str">
        <x:v>江西省</x:v>
      </x:c>
      <x:c r="J14" s="25" t="str">
        <x:v>鷹潭市</x:v>
      </x:c>
      <x:c r="K14" s="25" t="str">
        <x:v>貴溪市</x:v>
      </x:c>
      <x:c r="L14" s="25" t="str">
        <x:v>西華山</x:v>
      </x:c>
      <x:c r="M14" s="25" t="str">
        <x:v>同名沿用</x:v>
      </x:c>
      <x:c r="N14" s="25" t="str">
        <x:v>probable</x:v>
      </x:c>
      <x:c r="O14" s="25" t="str">
        <x:v>confirmed</x:v>
      </x:c>
      <x:c r="P14" s="25" t="str">
        <x:v>西華在貴溪市境內，即西華山，為龍虎山景區山岳，古今名稱一致，但僅憑名稱沿用推斷，故列probable。</x:v>
      </x:c>
      <x:c r="Q14" s="27" t="str">
        <x:v>最南抵西华，以已从五面峰瞰视，遂不复登。</x:v>
      </x:c>
      <x:c r="R14" s="25" t="str">
        <x:v>https://chgis.hudci.org/tgaz/placename/hvd_41204</x:v>
      </x:c>
      <x:c r="S14" s="25" t="str">
        <x:v>https://zjj.ganzhou.gov.cn/attachment/cmsfile/59617910d5353fbf94a7cb7161d1e1b3b4247.pdf</x:v>
      </x:c>
    </x:row>
    <x:row r="15" ht="58.5" customHeight="1">
      <x:c r="A15" s="25" t="n">
        <x:v>197</x:v>
      </x:c>
      <x:c r="B15" s="25" t="str">
        <x:v>二十三日</x:v>
      </x:c>
      <x:c r="C15" s="27" t="str">
        <x:v>一线天</x:v>
      </x:c>
      <x:c r="D15" s="25" t="str">
        <x:v>峽谷</x:v>
      </x:c>
      <x:c r="E15" s="25" t="str">
        <x:v>江西等處承宣布政使司</x:v>
      </x:c>
      <x:c r="F15" s="25" t="str">
        <x:v>廣信府</x:v>
      </x:c>
      <x:c r="G15" s="25"/>
      <x:c r="H15" s="25" t="str">
        <x:v>貴溪縣</x:v>
      </x:c>
      <x:c r="I15" s="25" t="str">
        <x:v>江西省</x:v>
      </x:c>
      <x:c r="J15" s="25" t="str">
        <x:v>鷹潭市</x:v>
      </x:c>
      <x:c r="K15" s="25" t="str">
        <x:v>貴溪市</x:v>
      </x:c>
      <x:c r="L15" s="25" t="str">
        <x:v>一線天</x:v>
      </x:c>
      <x:c r="M15" s="25" t="str">
        <x:v>同名沿用</x:v>
      </x:c>
      <x:c r="N15" s="25" t="str">
        <x:v>probable</x:v>
      </x:c>
      <x:c r="O15" s="25" t="str">
        <x:v>confirmed</x:v>
      </x:c>
      <x:c r="P15" s="25" t="str">
        <x:v>一線天在貴溪市境內，為龍虎山景區著名峽谷，古今名稱一致，但僅憑名稱沿用推斷，故列probable。</x:v>
      </x:c>
      <x:c r="Q15" s="27" t="str">
        <x:v>仍转出一线天，北逾一岭，二里，转而东，入小隐岩。</x:v>
      </x:c>
      <x:c r="R15" s="25" t="str">
        <x:v>https://chgis.hudci.org/tgaz/placename/hvd_41204</x:v>
      </x:c>
      <x:c r="S15" s="25" t="str">
        <x:v>https://zjj.ganzhou.gov.cn/attachment/cmsfile/59617910d5353fbf94a7cb7161d1e1b3b4247.pdf</x:v>
      </x:c>
    </x:row>
    <x:row r="16" ht="58.5" customHeight="1">
      <x:c r="A16" s="25" t="n">
        <x:v>198</x:v>
      </x:c>
      <x:c r="B16" s="25" t="str">
        <x:v>二十三日</x:v>
      </x:c>
      <x:c r="C16" s="27" t="str">
        <x:v>小隐岩</x:v>
      </x:c>
      <x:c r="D16" s="25" t="str">
        <x:v>洞穴</x:v>
      </x:c>
      <x:c r="E16" s="25" t="str">
        <x:v>江西等處承宣布政使司</x:v>
      </x:c>
      <x:c r="F16" s="25" t="str">
        <x:v>廣信府</x:v>
      </x:c>
      <x:c r="G16" s="25"/>
      <x:c r="H16" s="25" t="str">
        <x:v>貴溪縣</x:v>
      </x:c>
      <x:c r="I16" s="25" t="str">
        <x:v>江西省</x:v>
      </x:c>
      <x:c r="J16" s="25" t="str">
        <x:v>鷹潭市</x:v>
      </x:c>
      <x:c r="K16" s="25" t="str">
        <x:v>貴溪市</x:v>
      </x:c>
      <x:c r="L16" s="25" t="str">
        <x:v>小隱岩</x:v>
      </x:c>
      <x:c r="M16" s="25" t="str">
        <x:v>同名沿用</x:v>
      </x:c>
      <x:c r="N16" s="25" t="str">
        <x:v>probable</x:v>
      </x:c>
      <x:c r="O16" s="25" t="str">
        <x:v>confirmed</x:v>
      </x:c>
      <x:c r="P16" s="25" t="str">
        <x:v>小隱岩在貴溪市境內，為龍虎山景區洞穴，古今名稱一致，但僅憑名稱沿用推斷，故列probable。</x:v>
      </x:c>
      <x:c r="Q16" s="27" t="str">
        <x:v>仍转出一线天，北逾一岭，二里，转而东，入小隐岩。</x:v>
      </x:c>
      <x:c r="R16" s="25" t="str">
        <x:v>https://chgis.hudci.org/tgaz/placename/hvd_41204</x:v>
      </x:c>
      <x:c r="S16" s="25" t="str">
        <x:v>https://zjj.ganzhou.gov.cn/attachment/cmsfile/59617910d5353fbf94a7cb7161d1e1b3b4247.pdf</x:v>
      </x:c>
    </x:row>
    <x:row r="17" ht="58.5" customHeight="1">
      <x:c r="A17" s="25" t="n">
        <x:v>203</x:v>
      </x:c>
      <x:c r="B17" s="25" t="str">
        <x:v>二十三日</x:v>
      </x:c>
      <x:c r="C17" s="27" t="str">
        <x:v>罗塘</x:v>
      </x:c>
      <x:c r="D17" s="25" t="str">
        <x:v>聚落</x:v>
      </x:c>
      <x:c r="E17" s="25" t="str">
        <x:v>江西等處承宣布政使司</x:v>
      </x:c>
      <x:c r="F17" s="25" t="str">
        <x:v>廣信府</x:v>
      </x:c>
      <x:c r="G17" s="25"/>
      <x:c r="H17" s="25" t="str">
        <x:v>貴溪縣</x:v>
      </x:c>
      <x:c r="I17" s="25" t="str">
        <x:v>江西省</x:v>
      </x:c>
      <x:c r="J17" s="25" t="str">
        <x:v>鷹潭市</x:v>
      </x:c>
      <x:c r="K17" s="25" t="str">
        <x:v>貴溪市</x:v>
      </x:c>
      <x:c r="L17" s="25" t="str">
        <x:v>待考</x:v>
      </x:c>
      <x:c r="M17" s="25" t="str">
        <x:v>僅確定至現代縣級</x:v>
      </x:c>
      <x:c r="N17" s="25" t="str">
        <x:v>review</x:v>
      </x:c>
      <x:c r="O17" s="25" t="str">
        <x:v>confirmed</x:v>
      </x:c>
      <x:c r="P17" s="25" t="str">
        <x:v>羅塘為貴溪市境內聚落，無可靠唯一對應現代名稱，可能為小村莊或已改名，需實地考證。</x:v>
      </x:c>
      <x:c r="Q17" s="27" t="str">
        <x:v>遂由罗塘之大道，过一岭，始北转入山，竹树深蒨岩石高穹；但为释人架屋叠墙，无复本来面目，且知其非徐岩也。</x:v>
      </x:c>
      <x:c r="R17" s="25" t="str">
        <x:v>https://chgis.hudci.org/tgaz/placename/hvd_41204</x:v>
      </x:c>
      <x:c r="S17" s="25" t="str">
        <x:v>https://zjj.ganzhou.gov.cn/attachment/cmsfile/59617910d5353fbf94a7cb7161d1e1b3b4247.pdf</x:v>
      </x:c>
    </x:row>
    <x:row r="18" ht="58.5" customHeight="1">
      <x:c r="A18" s="25" t="n">
        <x:v>206</x:v>
      </x:c>
      <x:c r="B18" s="25" t="str">
        <x:v>二十三日</x:v>
      </x:c>
      <x:c r="C18" s="27" t="str">
        <x:v>象山</x:v>
      </x:c>
      <x:c r="D18" s="25" t="str">
        <x:v>山岳</x:v>
      </x:c>
      <x:c r="E18" s="25" t="str">
        <x:v>江西等處承宣布政使司</x:v>
      </x:c>
      <x:c r="F18" s="25" t="str">
        <x:v>廣信府</x:v>
      </x:c>
      <x:c r="G18" s="25"/>
      <x:c r="H18" s="25" t="str">
        <x:v>貴溪縣</x:v>
      </x:c>
      <x:c r="I18" s="25" t="str">
        <x:v>江西省</x:v>
      </x:c>
      <x:c r="J18" s="25" t="str">
        <x:v>鷹潭市</x:v>
      </x:c>
      <x:c r="K18" s="25" t="str">
        <x:v>貴溪市</x:v>
      </x:c>
      <x:c r="L18" s="25" t="str">
        <x:v>象山</x:v>
      </x:c>
      <x:c r="M18" s="25" t="str">
        <x:v>同名沿用</x:v>
      </x:c>
      <x:c r="N18" s="25" t="str">
        <x:v>probable</x:v>
      </x:c>
      <x:c r="O18" s="25" t="str">
        <x:v>confirmed</x:v>
      </x:c>
      <x:c r="P18" s="25" t="str">
        <x:v>象山在貴溪市境內，為龍虎山景區山岳，古今名稱一致，但僅憑名稱沿用推斷，故列probable。</x:v>
      </x:c>
      <x:c r="Q18" s="27" t="str">
        <x:v>从其西二里，将抵象山，问所云徐岩，终不可得。</x:v>
      </x:c>
      <x:c r="R18" s="25" t="str">
        <x:v>https://chgis.hudci.org/tgaz/placename/hvd_41204</x:v>
      </x:c>
      <x:c r="S18" s="25" t="str">
        <x:v>https://zjj.ganzhou.gov.cn/attachment/cmsfile/59617910d5353fbf94a7cb7161d1e1b3b4247.pdf</x:v>
      </x:c>
    </x:row>
    <x:row r="19" ht="58.5" customHeight="1">
      <x:c r="A19" s="25" t="n">
        <x:v>212</x:v>
      </x:c>
      <x:c r="B19" s="25" t="str">
        <x:v>二十三日</x:v>
      </x:c>
      <x:c r="C19" s="27" t="str">
        <x:v>朝真宫</x:v>
      </x:c>
      <x:c r="D19" s="25" t="str">
        <x:v>寺廟／宮觀</x:v>
      </x:c>
      <x:c r="E19" s="25" t="str">
        <x:v>江西等處承宣布政使司</x:v>
      </x:c>
      <x:c r="F19" s="25" t="str">
        <x:v>廣信府</x:v>
      </x:c>
      <x:c r="G19" s="25"/>
      <x:c r="H19" s="25" t="str">
        <x:v>貴溪縣</x:v>
      </x:c>
      <x:c r="I19" s="25" t="str">
        <x:v>江西省</x:v>
      </x:c>
      <x:c r="J19" s="25" t="str">
        <x:v>鷹潭市</x:v>
      </x:c>
      <x:c r="K19" s="25" t="str">
        <x:v>貴溪市</x:v>
      </x:c>
      <x:c r="L19" s="25" t="str">
        <x:v>待考</x:v>
      </x:c>
      <x:c r="M19" s="25" t="str">
        <x:v>僅確定至現代縣級</x:v>
      </x:c>
      <x:c r="N19" s="25" t="str">
        <x:v>review</x:v>
      </x:c>
      <x:c r="O19" s="25" t="str">
        <x:v>confirmed</x:v>
      </x:c>
      <x:c r="P19" s="25" t="str">
        <x:v>朝真宮為貴溪市境內寺廟，無可靠唯一對應現代名稱，可能為當地道觀或已不存，需實地考證。</x:v>
      </x:c>
      <x:c r="Q19" s="27" t="str">
        <x:v>二僧俱新至托宿，问之，亦不知其为徐岩与否，当即所称朝真宫矣。</x:v>
      </x:c>
      <x:c r="R19" s="25" t="str">
        <x:v>https://chgis.hudci.org/tgaz/placename/hvd_41204</x:v>
      </x:c>
      <x:c r="S19" s="25" t="str">
        <x:v>https://zjj.ganzhou.gov.cn/attachment/cmsfile/59617910d5353fbf94a7cb7161d1e1b3b4247.pdf</x:v>
      </x:c>
    </x:row>
    <x:row r="20" ht="58.5" customHeight="1">
      <x:c r="A20" s="25" t="n">
        <x:v>213</x:v>
      </x:c>
      <x:c r="B20" s="25" t="str">
        <x:v>二十三日</x:v>
      </x:c>
      <x:c r="C20" s="27" t="str">
        <x:v>象山</x:v>
      </x:c>
      <x:c r="D20" s="25" t="str">
        <x:v>山岳</x:v>
      </x:c>
      <x:c r="E20" s="25" t="str">
        <x:v>江西等處承宣布政使司</x:v>
      </x:c>
      <x:c r="F20" s="25" t="str">
        <x:v>廣信府</x:v>
      </x:c>
      <x:c r="G20" s="25"/>
      <x:c r="H20" s="25" t="str">
        <x:v>貴溪縣</x:v>
      </x:c>
      <x:c r="I20" s="25" t="str">
        <x:v>江西省</x:v>
      </x:c>
      <x:c r="J20" s="25" t="str">
        <x:v>鷹潭市</x:v>
      </x:c>
      <x:c r="K20" s="25" t="str">
        <x:v>貴溪市</x:v>
      </x:c>
      <x:c r="L20" s="25" t="str">
        <x:v>象山</x:v>
      </x:c>
      <x:c r="M20" s="25" t="str">
        <x:v>同名沿用</x:v>
      </x:c>
      <x:c r="N20" s="25" t="str">
        <x:v>probable</x:v>
      </x:c>
      <x:c r="O20" s="25" t="str">
        <x:v>confirmed</x:v>
      </x:c>
      <x:c r="P20" s="25" t="str">
        <x:v>象山在貴溪市境內，為龍虎山景區山岳，古今名稱一致，但僅憑名稱沿用推斷，故列probable。</x:v>
      </x:c>
      <x:c r="Q20" s="27" t="str">
        <x:v>从暗中出，复西而南寻象山，其地虽暗而路可循，两崖前突，中坞不深而峻，当其中有坊峙焉。</x:v>
      </x:c>
      <x:c r="R20" s="25" t="str">
        <x:v>https://chgis.hudci.org/tgaz/placename/hvd_41204</x:v>
      </x:c>
      <x:c r="S20" s="25" t="str">
        <x:v>https://zjj.ganzhou.gov.cn/attachment/cmsfile/59617910d5353fbf94a7cb7161d1e1b3b4247.pdf</x:v>
      </x:c>
    </x:row>
    <x:row r="21" ht="58.5" customHeight="1">
      <x:c r="A21" s="25" t="n">
        <x:v>620</x:v>
      </x:c>
      <x:c r="B21" s="25" t="str">
        <x:v>二十三日</x:v>
      </x:c>
      <x:c r="C21" s="27" t="str">
        <x:v>曹山</x:v>
      </x:c>
      <x:c r="D21" s="25" t="str">
        <x:v>山岳</x:v>
      </x:c>
      <x:c r="E21" s="25" t="str">
        <x:v>江西等處承宣布政使司</x:v>
      </x:c>
      <x:c r="F21" s="25" t="str">
        <x:v>撫州府</x:v>
      </x:c>
      <x:c r="G21" s="25"/>
      <x:c r="H21" s="25" t="str">
        <x:v>宜黃縣</x:v>
      </x:c>
      <x:c r="I21" s="25" t="str">
        <x:v>江西省</x:v>
      </x:c>
      <x:c r="J21" s="25" t="str">
        <x:v>撫州市</x:v>
      </x:c>
      <x:c r="K21" s="25" t="str">
        <x:v>宜黃縣</x:v>
      </x:c>
      <x:c r="L21" s="25" t="str">
        <x:v>曹山</x:v>
      </x:c>
      <x:c r="M21" s="25" t="str">
        <x:v>同名沿用</x:v>
      </x:c>
      <x:c r="N21" s="25" t="str">
        <x:v>probable</x:v>
      </x:c>
      <x:c r="O21" s="25" t="str">
        <x:v>confirmed</x:v>
      </x:c>
      <x:c r="P21" s="25" t="str">
        <x:v>曹山為山名，名稱較特定，依上下文在宜黃縣，但未提供現代知名山岳證據，故推測為同名沿用。</x:v>
      </x:c>
      <x:c r="Q21" s="27" t="str">
        <x:v>饭而别观心，出曹山，而雨丝丝下。</x:v>
      </x:c>
      <x:c r="R21" s="25" t="str">
        <x:v>https://chgis.hudci.org/tgaz/placename/hvd_41003</x:v>
      </x:c>
      <x:c r="S21" s="25" t="str">
        <x:v>https://zjj.ganzhou.gov.cn/attachment/cmsfile/59617910d5353fbf94a7cb7161d1e1b3b4247.pdf</x:v>
      </x:c>
    </x:row>
    <x:row r="22" ht="58.5" customHeight="1">
      <x:c r="A22" s="25" t="n">
        <x:v>625</x:v>
      </x:c>
      <x:c r="B22" s="25" t="str">
        <x:v>二十三日</x:v>
      </x:c>
      <x:c r="C22" s="27" t="str">
        <x:v>崇仁</x:v>
      </x:c>
      <x:c r="D22" s="25" t="str">
        <x:v>縣</x:v>
      </x:c>
      <x:c r="E22" s="25" t="str">
        <x:v>江西等處承宣布政使司</x:v>
      </x:c>
      <x:c r="F22" s="25" t="str">
        <x:v>撫州府</x:v>
      </x:c>
      <x:c r="G22" s="25"/>
      <x:c r="H22" s="25" t="str">
        <x:v>崇仁縣</x:v>
      </x:c>
      <x:c r="I22" s="25" t="str">
        <x:v>江西省</x:v>
      </x:c>
      <x:c r="J22" s="25" t="str">
        <x:v>撫州市</x:v>
      </x:c>
      <x:c r="K22" s="25" t="str">
        <x:v>崇仁縣</x:v>
      </x:c>
      <x:c r="L22" s="25" t="str">
        <x:v>崇仁縣</x:v>
      </x:c>
      <x:c r="M22" s="25" t="str">
        <x:v>同名沿用</x:v>
      </x:c>
      <x:c r="N22" s="25" t="str">
        <x:v>probable</x:v>
      </x:c>
      <x:c r="O22" s="25" t="str">
        <x:v>review</x:v>
      </x:c>
      <x:c r="P22" s="25" t="str">
        <x:v>行政地名按CHGIS 1636年沿革及其現代位置欄配對。</x:v>
      </x:c>
      <x:c r="Q22" s="27" t="str">
        <x:v>盖溪自曹山后岭北山峡而来，南下而转至鹏风桥者，此流尚细，而宜黄、崇仁之界，因逾接龙桥而西，即为崇之东南境。</x:v>
      </x:c>
      <x:c r="R22" s="25" t="str">
        <x:v>https://chgis.hudci.org/tgaz/placename/hvd_40999</x:v>
      </x:c>
      <x:c r="S22" s="25" t="str">
        <x:v>https://zjj.ganzhou.gov.cn/attachment/cmsfile/59617910d5353fbf94a7cb7161d1e1b3b4247.pdf</x:v>
      </x:c>
    </x:row>
    <x:row r="23" ht="58.5" customHeight="1">
      <x:c r="A23" s="25" t="n">
        <x:v>626</x:v>
      </x:c>
      <x:c r="B23" s="25" t="str">
        <x:v>二十三日</x:v>
      </x:c>
      <x:c r="C23" s="27" t="str">
        <x:v>大霍岭</x:v>
      </x:c>
      <x:c r="D23" s="25" t="str">
        <x:v>山岳</x:v>
      </x:c>
      <x:c r="E23" s="25" t="str">
        <x:v>江西等處承宣布政使司</x:v>
      </x:c>
      <x:c r="F23" s="25" t="str">
        <x:v>撫州府</x:v>
      </x:c>
      <x:c r="G23" s="25"/>
      <x:c r="H23" s="25" t="str">
        <x:v>崇仁縣</x:v>
      </x:c>
      <x:c r="I23" s="25" t="str">
        <x:v>江西省</x:v>
      </x:c>
      <x:c r="J23" s="25" t="str">
        <x:v>撫州市</x:v>
      </x:c>
      <x:c r="K23" s="25" t="str">
        <x:v>崇仁縣</x:v>
      </x:c>
      <x:c r="L23" s="25" t="str">
        <x:v>大霍岭</x:v>
      </x:c>
      <x:c r="M23" s="25" t="str">
        <x:v>同名沿用</x:v>
      </x:c>
      <x:c r="N23" s="25" t="str">
        <x:v>probable</x:v>
      </x:c>
      <x:c r="O23" s="25" t="str">
        <x:v>confirmed</x:v>
      </x:c>
      <x:c r="P23" s="25" t="str">
        <x:v>大霍岭為山嶺名，名稱較特定，依上下文在崇仁縣，但未提供現代唯一對應證據，故推測為同名沿用。</x:v>
      </x:c>
      <x:c r="Q23" s="27" t="str">
        <x:v>从此入山共三里，逾大霍岭，直逼龙骨山下。</x:v>
      </x:c>
      <x:c r="R23" s="25" t="str">
        <x:v>https://chgis.hudci.org/tgaz/placename/hvd_40999</x:v>
      </x:c>
      <x:c r="S23" s="25" t="str">
        <x:v>https://zjj.ganzhou.gov.cn/attachment/cmsfile/59617910d5353fbf94a7cb7161d1e1b3b4247.pdf</x:v>
      </x:c>
    </x:row>
    <x:row r="24" ht="58.5" customHeight="1">
      <x:c r="A24" s="25" t="n">
        <x:v>627</x:v>
      </x:c>
      <x:c r="B24" s="25" t="str">
        <x:v>二十三日</x:v>
      </x:c>
      <x:c r="C24" s="27" t="str">
        <x:v>龙骨山</x:v>
      </x:c>
      <x:c r="D24" s="25" t="str">
        <x:v>山岳</x:v>
      </x:c>
      <x:c r="E24" s="25" t="str">
        <x:v>江西等處承宣布政使司</x:v>
      </x:c>
      <x:c r="F24" s="25" t="str">
        <x:v>撫州府</x:v>
      </x:c>
      <x:c r="G24" s="25"/>
      <x:c r="H24" s="25" t="str">
        <x:v>崇仁縣</x:v>
      </x:c>
      <x:c r="I24" s="25" t="str">
        <x:v>江西省</x:v>
      </x:c>
      <x:c r="J24" s="25" t="str">
        <x:v>撫州市</x:v>
      </x:c>
      <x:c r="K24" s="25" t="str">
        <x:v>崇仁縣</x:v>
      </x:c>
      <x:c r="L24" s="25" t="str">
        <x:v>龙骨山</x:v>
      </x:c>
      <x:c r="M24" s="25" t="str">
        <x:v>同名沿用</x:v>
      </x:c>
      <x:c r="N24" s="25" t="str">
        <x:v>probable</x:v>
      </x:c>
      <x:c r="O24" s="25" t="str">
        <x:v>confirmed</x:v>
      </x:c>
      <x:c r="P24" s="25" t="str">
        <x:v>龙骨山為山名，名稱較特定，依上下文在崇仁縣，但未提供現代知名山岳證據，故推測為同名沿用。</x:v>
      </x:c>
      <x:c r="Q24" s="27" t="str">
        <x:v>从此入山共三里，逾大霍岭，直逼龙骨山下。</x:v>
      </x:c>
      <x:c r="R24" s="25" t="str">
        <x:v>https://chgis.hudci.org/tgaz/placename/hvd_40999</x:v>
      </x:c>
      <x:c r="S24" s="25" t="str">
        <x:v>https://zjj.ganzhou.gov.cn/attachment/cmsfile/59617910d5353fbf94a7cb7161d1e1b3b4247.pdf</x:v>
      </x:c>
    </x:row>
    <x:row r="25" ht="58.5" customHeight="1">
      <x:c r="A25" s="25" t="n">
        <x:v>628</x:v>
      </x:c>
      <x:c r="B25" s="25" t="str">
        <x:v>二十三日</x:v>
      </x:c>
      <x:c r="C25" s="27" t="str">
        <x:v>骨岭</x:v>
      </x:c>
      <x:c r="D25" s="25" t="str">
        <x:v>山岳</x:v>
      </x:c>
      <x:c r="E25" s="25" t="str">
        <x:v>江西等處承宣布政使司</x:v>
      </x:c>
      <x:c r="F25" s="25" t="str">
        <x:v>撫州府</x:v>
      </x:c>
      <x:c r="G25" s="25"/>
      <x:c r="H25" s="25" t="str">
        <x:v>崇仁縣</x:v>
      </x:c>
      <x:c r="I25" s="25" t="str">
        <x:v>江西省</x:v>
      </x:c>
      <x:c r="J25" s="25" t="str">
        <x:v>撫州市</x:v>
      </x:c>
      <x:c r="K25" s="25" t="str">
        <x:v>崇仁縣</x:v>
      </x:c>
      <x:c r="L25" s="25" t="str">
        <x:v>骨岭</x:v>
      </x:c>
      <x:c r="M25" s="25" t="str">
        <x:v>待考</x:v>
      </x:c>
      <x:c r="N25" s="25" t="str">
        <x:v>review</x:v>
      </x:c>
      <x:c r="O25" s="25" t="str">
        <x:v>confirmed</x:v>
      </x:c>
      <x:c r="P25" s="25" t="str">
        <x:v>review</x:v>
      </x:c>
      <x:c r="Q25" s="27" t="str">
        <x:v>又二里，逾骨岭，水犹东注。</x:v>
      </x:c>
      <x:c r="R25" s="25" t="str">
        <x:v>https://chgis.hudci.org/tgaz/placename/hvd_40999</x:v>
      </x:c>
      <x:c r="S25" s="25" t="str">
        <x:v>https://zjj.ganzhou.gov.cn/attachment/cmsfile/59617910d5353fbf94a7cb7161d1e1b3b4247.pdf</x:v>
      </x:c>
    </x:row>
    <x:row r="26" ht="58.5" customHeight="1">
      <x:c r="A26" s="25" t="n">
        <x:v>629</x:v>
      </x:c>
      <x:c r="B26" s="25" t="str">
        <x:v>二十三日</x:v>
      </x:c>
      <x:c r="C26" s="27" t="str">
        <x:v>幞头岭</x:v>
      </x:c>
      <x:c r="D26" s="25" t="str">
        <x:v>山岳</x:v>
      </x:c>
      <x:c r="E26" s="25" t="str">
        <x:v>江西等處承宣布政使司</x:v>
      </x:c>
      <x:c r="F26" s="25" t="str">
        <x:v>撫州府</x:v>
      </x:c>
      <x:c r="G26" s="25"/>
      <x:c r="H26" s="25" t="str">
        <x:v>崇仁縣</x:v>
      </x:c>
      <x:c r="I26" s="25" t="str">
        <x:v>江西省</x:v>
      </x:c>
      <x:c r="J26" s="25" t="str">
        <x:v>撫州市</x:v>
      </x:c>
      <x:c r="K26" s="25" t="str">
        <x:v>崇仁縣</x:v>
      </x:c>
      <x:c r="L26" s="25" t="str">
        <x:v>幞头岭</x:v>
      </x:c>
      <x:c r="M26" s="25" t="str">
        <x:v>同名沿用</x:v>
      </x:c>
      <x:c r="N26" s="25" t="str">
        <x:v>probable</x:v>
      </x:c>
      <x:c r="O26" s="25" t="str">
        <x:v>confirmed</x:v>
      </x:c>
      <x:c r="P26" s="25" t="str">
        <x:v>幞头岭為山嶺名，名稱較特定，依上下文在崇仁縣，但未提供現代唯一對應證據，故推測為同名沿用。</x:v>
      </x:c>
      <x:c r="Q26" s="27" t="str">
        <x:v>又三里，下幞头岭，水始西流。</x:v>
      </x:c>
      <x:c r="R26" s="25" t="str">
        <x:v>https://chgis.hudci.org/tgaz/placename/hvd_40999</x:v>
      </x:c>
      <x:c r="S26" s="25" t="str">
        <x:v>https://zjj.ganzhou.gov.cn/attachment/cmsfile/59617910d5353fbf94a7cb7161d1e1b3b4247.pdf</x:v>
      </x:c>
    </x:row>
    <x:row r="27" ht="58.5" customHeight="1">
      <x:c r="A27" s="25" t="n">
        <x:v>630</x:v>
      </x:c>
      <x:c r="B27" s="25" t="str">
        <x:v>二十三日</x:v>
      </x:c>
      <x:c r="C27" s="27" t="str">
        <x:v>纯乡</x:v>
      </x:c>
      <x:c r="D27" s="25" t="str">
        <x:v>聚落</x:v>
      </x:c>
      <x:c r="E27" s="25" t="str">
        <x:v>江西等處承宣布政使司</x:v>
      </x:c>
      <x:c r="F27" s="25" t="str">
        <x:v>撫州府</x:v>
      </x:c>
      <x:c r="G27" s="25"/>
      <x:c r="H27" s="25" t="str">
        <x:v>崇仁縣</x:v>
      </x:c>
      <x:c r="I27" s="25" t="str">
        <x:v>江西省</x:v>
      </x:c>
      <x:c r="J27" s="25" t="str">
        <x:v>撫州市</x:v>
      </x:c>
      <x:c r="K27" s="25" t="str">
        <x:v>崇仁縣</x:v>
      </x:c>
      <x:c r="L27" s="25" t="str">
        <x:v>纯乡</x:v>
      </x:c>
      <x:c r="M27" s="25" t="str">
        <x:v>待考</x:v>
      </x:c>
      <x:c r="N27" s="25" t="str">
        <x:v>review</x:v>
      </x:c>
      <x:c r="O27" s="25" t="str">
        <x:v>confirmed</x:v>
      </x:c>
      <x:c r="P27" s="25" t="str">
        <x:v>review</x:v>
      </x:c>
      <x:c r="Q27" s="27" t="str">
        <x:v>又四里至纯乡，则一溪自南而北矣。</x:v>
      </x:c>
      <x:c r="R27" s="25" t="str">
        <x:v>https://chgis.hudci.org/tgaz/placename/hvd_40999</x:v>
      </x:c>
      <x:c r="S27" s="25" t="str">
        <x:v>https://zjj.ganzhou.gov.cn/attachment/cmsfile/59617910d5353fbf94a7cb7161d1e1b3b4247.pdf</x:v>
      </x:c>
    </x:row>
    <x:row r="28" ht="58.5" customHeight="1">
      <x:c r="A28" s="25" t="n">
        <x:v>631</x:v>
      </x:c>
      <x:c r="B28" s="25" t="str">
        <x:v>二十三日</x:v>
      </x:c>
      <x:c r="C28" s="27" t="str">
        <x:v>纯乡村</x:v>
      </x:c>
      <x:c r="D28" s="25" t="str">
        <x:v>村莊／寨</x:v>
      </x:c>
      <x:c r="E28" s="25" t="str">
        <x:v>江西等處承宣布政使司</x:v>
      </x:c>
      <x:c r="F28" s="25" t="str">
        <x:v>撫州府</x:v>
      </x:c>
      <x:c r="G28" s="25"/>
      <x:c r="H28" s="25" t="str">
        <x:v>崇仁縣</x:v>
      </x:c>
      <x:c r="I28" s="25" t="str">
        <x:v>江西省</x:v>
      </x:c>
      <x:c r="J28" s="25" t="str">
        <x:v>撫州市</x:v>
      </x:c>
      <x:c r="K28" s="25" t="str">
        <x:v>崇仁縣</x:v>
      </x:c>
      <x:c r="L28" s="25" t="str">
        <x:v>纯乡村</x:v>
      </x:c>
      <x:c r="M28" s="25" t="str">
        <x:v>待考</x:v>
      </x:c>
      <x:c r="N28" s="25" t="str">
        <x:v>review</x:v>
      </x:c>
      <x:c r="O28" s="25" t="str">
        <x:v>confirmed</x:v>
      </x:c>
      <x:c r="P28" s="25" t="str">
        <x:v>review</x:v>
      </x:c>
      <x:c r="Q28" s="27" t="str">
        <x:v>渡溪桥是为纯乡村，有居民颇众。</x:v>
      </x:c>
      <x:c r="R28" s="25" t="str">
        <x:v>https://chgis.hudci.org/tgaz/placename/hvd_40999</x:v>
      </x:c>
      <x:c r="S28" s="25" t="str">
        <x:v>https://zjj.ganzhou.gov.cn/attachment/cmsfile/59617910d5353fbf94a7cb7161d1e1b3b4247.pdf</x:v>
      </x:c>
    </x:row>
    <x:row r="29" ht="58.5" customHeight="1">
      <x:c r="A29" s="25" t="n">
        <x:v>633</x:v>
      </x:c>
      <x:c r="B29" s="25" t="str">
        <x:v>二十三日</x:v>
      </x:c>
      <x:c r="C29" s="27" t="str">
        <x:v>干冈岭</x:v>
      </x:c>
      <x:c r="D29" s="25" t="str">
        <x:v>山岳</x:v>
      </x:c>
      <x:c r="E29" s="25" t="str">
        <x:v>江西等處承宣布政使司</x:v>
      </x:c>
      <x:c r="F29" s="25" t="str">
        <x:v>撫州府</x:v>
      </x:c>
      <x:c r="G29" s="25"/>
      <x:c r="H29" s="25" t="str">
        <x:v>崇仁縣</x:v>
      </x:c>
      <x:c r="I29" s="25" t="str">
        <x:v>江西省</x:v>
      </x:c>
      <x:c r="J29" s="25" t="str">
        <x:v>撫州市</x:v>
      </x:c>
      <x:c r="K29" s="25" t="str">
        <x:v>崇仁縣</x:v>
      </x:c>
      <x:c r="L29" s="25" t="str">
        <x:v>待考</x:v>
      </x:c>
      <x:c r="M29" s="25" t="str">
        <x:v>僅確定至現代縣級</x:v>
      </x:c>
      <x:c r="N29" s="25" t="str">
        <x:v>review</x:v>
      </x:c>
      <x:c r="O29" s="25" t="str">
        <x:v>confirmed</x:v>
      </x:c>
      <x:c r="P29" s="25" t="str">
        <x:v>干冈岭為小嶺，無知名對應，僅能確定在崇仁縣境內。</x:v>
      </x:c>
      <x:c r="Q29" s="27" t="str">
        <x:v>南循小水一里，西登干冈岭，岭颇峻，逾岭而下，纯西南行矣。</x:v>
      </x:c>
      <x:c r="R29" s="25" t="str">
        <x:v>https://chgis.hudci.org/tgaz/placename/hvd_40999</x:v>
      </x:c>
      <x:c r="S29" s="25" t="str">
        <x:v>https://zjj.ganzhou.gov.cn/attachment/cmsfile/59617910d5353fbf94a7cb7161d1e1b3b4247.pdf</x:v>
      </x:c>
    </x:row>
    <x:row r="30" ht="58.5" customHeight="1">
      <x:c r="A30" s="25" t="n">
        <x:v>636</x:v>
      </x:c>
      <x:c r="B30" s="25" t="str">
        <x:v>二十三日</x:v>
      </x:c>
      <x:c r="C30" s="27" t="str">
        <x:v>巴溪</x:v>
      </x:c>
      <x:c r="D30" s="25" t="str">
        <x:v>江河</x:v>
      </x:c>
      <x:c r="E30" s="25" t="str">
        <x:v>江西等處承宣布政使司</x:v>
      </x:c>
      <x:c r="F30" s="25" t="str">
        <x:v>撫州府</x:v>
      </x:c>
      <x:c r="G30" s="25"/>
      <x:c r="H30" s="25" t="str">
        <x:v>崇仁縣</x:v>
      </x:c>
      <x:c r="I30" s="25" t="str">
        <x:v>江西省</x:v>
      </x:c>
      <x:c r="J30" s="25" t="str">
        <x:v>撫州市</x:v>
      </x:c>
      <x:c r="K30" s="25" t="str">
        <x:v>崇仁縣</x:v>
      </x:c>
      <x:c r="L30" s="25" t="str">
        <x:v>待考</x:v>
      </x:c>
      <x:c r="M30" s="25" t="str">
        <x:v>僅確定至現代縣級</x:v>
      </x:c>
      <x:c r="N30" s="25" t="str">
        <x:v>review</x:v>
      </x:c>
      <x:c r="O30" s="25" t="str">
        <x:v>confirmed</x:v>
      </x:c>
      <x:c r="P30" s="25" t="str">
        <x:v>巴溪為小河流，無知名對應，僅能確定在崇仁縣境內。</x:v>
      </x:c>
      <x:c r="Q30" s="27" t="str">
        <x:v>又西五里，过练树桥，桥跨巴溪之上。</x:v>
      </x:c>
      <x:c r="R30" s="25" t="str">
        <x:v>https://chgis.hudci.org/tgaz/placename/hvd_40999</x:v>
      </x:c>
      <x:c r="S30" s="25" t="str">
        <x:v>https://zjj.ganzhou.gov.cn/attachment/cmsfile/59617910d5353fbf94a7cb7161d1e1b3b4247.pdf</x:v>
      </x:c>
    </x:row>
    <x:row r="31" ht="58.5" customHeight="1">
      <x:c r="A31" s="26" t="n">
        <x:v>650</x:v>
      </x:c>
      <x:c r="B31" s="26" t="str">
        <x:v>二十三日</x:v>
      </x:c>
      <x:c r="C31" s="28" t="str">
        <x:v>朱碧街</x:v>
      </x:c>
      <x:c r="D31" s="26" t="str">
        <x:v>聚落</x:v>
      </x:c>
      <x:c r="E31" s="26" t="str">
        <x:v>江西等處承宣布政使司</x:v>
      </x:c>
      <x:c r="F31" s="26" t="str">
        <x:v>撫州府</x:v>
      </x:c>
      <x:c r="G31" s="26"/>
      <x:c r="H31" s="26" t="str">
        <x:v>崇仁縣</x:v>
      </x:c>
      <x:c r="I31" s="26" t="str">
        <x:v>江西省</x:v>
      </x:c>
      <x:c r="J31" s="26" t="str">
        <x:v>撫州市</x:v>
      </x:c>
      <x:c r="K31" s="26" t="str">
        <x:v>崇仁縣</x:v>
      </x:c>
      <x:c r="L31" s="26" t="str">
        <x:v>待考</x:v>
      </x:c>
      <x:c r="M31" s="26" t="str">
        <x:v>僅確定至現代縣級</x:v>
      </x:c>
      <x:c r="N31" s="26" t="str">
        <x:v>review</x:v>
      </x:c>
      <x:c r="O31" s="26" t="str">
        <x:v>confirmed</x:v>
      </x:c>
      <x:c r="P31" s="26" t="str">
        <x:v>朱碧街為小聚落，無可靠唯一對應，僅能確定在崇仁縣境內。</x:v>
      </x:c>
      <x:c r="Q31" s="28" t="str">
        <x:v>自练树桥又五里而至朱碧街。</x:v>
      </x:c>
      <x:c r="R31" s="26" t="str">
        <x:v>https://chgis.hudci.org/tgaz/placename/hvd_40999</x:v>
      </x:c>
      <x:c r="S31" s="26" t="str">
        <x:v>https://zjj.ganzhou.gov.cn/attachment/cmsfile/59617910d5353fbf94a7cb7161d1e1b3b4247.pdf</x:v>
      </x:c>
    </x:row>
  </x:sheetData>
  <x:mergeCells>
    <x:mergeCell ref="A1:S1"/>
    <x:mergeCell ref="A2:S2"/>
    <x:mergeCell ref="A3:S3"/>
    <x:mergeCell ref="A4:S4"/>
  </x:mergeCells>
  <x:pageMargins left="0.7" right="0.7" top="0.75" bottom="0.75" header="0.3" footer="0.3"/>
  <x:tableParts count="1">
    <x:tablePart xmlns:r="http://schemas.openxmlformats.org/officeDocument/2006/relationships" r:id="R5516726131d240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6.110000610351562" hidden="0" customWidth="1"/>
    <x:col min="6" max="6" width="28.889999389648438" hidden="0" customWidth="1"/>
    <x:col min="7" max="7" width="16.110000610351562" hidden="0" customWidth="1"/>
    <x:col min="8" max="8" width="28.889999389648438" hidden="0" customWidth="1"/>
    <x:col min="9" max="9" width="16.110000610351562" hidden="0" customWidth="1"/>
    <x:col min="10" max="10" width="13.329999923706055" hidden="0" customWidth="1"/>
    <x:col min="11" max="11" width="28.889999389648438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6.110000610351562" hidden="0" customWidth="1"/>
    <x:col min="16" max="16" width="16.110000610351562" hidden="0" customWidth="1"/>
    <x:col min="17" max="17" width="28.889999389648438" hidden="0" customWidth="1"/>
  </x:cols>
  <x:sheetData>
    <x:row r="1" ht="24" customHeight="1">
      <x:c r="A1" s="40" t="str">
        <x:v>江右游日記二十三日｜步驟三：地方志距離證據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</x:row>
    <x:row r="2" ht="28.5" customHeight="1">
      <x:c r="A2" s="8" t="str">
        <x:v>二十三日結果｜16 筆｜地方志補查 16；匹配 2；未匹配 14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 ht="18.75" customHeight="1">
      <x:c r="A3" s="12" t="str">
        <x:v>本檔只保留二十三日「經過」地名；第二輪地方志補查新增五面峰兩次出現的雙來源配對。未配對空白仍保留紅色，並不猜測經緯度。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78.75" customHeight="1">
      <x:c r="A4" s="16" t="str">
        <x:v>請在識典古籍閱讀地方志原文，只保留同時提及地名及方向、里數、界址、水系或相鄰關係的句子。輸出地方志書名、版本、原句、參照地點與匹配狀態；配不到時留空並標示未匹配，不可猜測經緯度。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</x:row>
    <x:row r="6" ht="36" customHeight="1">
      <x:c r="A6" s="44" t="str">
        <x:v>序號</x:v>
      </x:c>
      <x:c r="B6" s="44" t="str">
        <x:v>日期</x:v>
      </x:c>
      <x:c r="C6" s="44" t="str">
        <x:v>地名</x:v>
      </x:c>
      <x:c r="D6" s="44" t="str">
        <x:v>類別</x:v>
      </x:c>
      <x:c r="E6" s="44" t="str">
        <x:v>細分類</x:v>
      </x:c>
      <x:c r="F6" s="44" t="str">
        <x:v>原文</x:v>
      </x:c>
      <x:c r="G6" s="44" t="str">
        <x:v>第一地方志配對</x:v>
      </x:c>
      <x:c r="H6" s="44" t="str">
        <x:v>地方志原句</x:v>
      </x:c>
      <x:c r="I6" s="44" t="str">
        <x:v>第二地方志</x:v>
      </x:c>
      <x:c r="J6" s="44" t="str">
        <x:v>匹配狀態</x:v>
      </x:c>
      <x:c r="K6" s="44" t="str">
        <x:v>母地物候選</x:v>
      </x:c>
      <x:c r="L6" s="44" t="str">
        <x:v>古代府／直隸州</x:v>
      </x:c>
      <x:c r="M6" s="44" t="str">
        <x:v>古代縣</x:v>
      </x:c>
      <x:c r="N6" s="44" t="str">
        <x:v>現代縣級</x:v>
      </x:c>
      <x:c r="O6" s="44" t="str">
        <x:v>record_level</x:v>
      </x:c>
      <x:c r="P6" s="44" t="str">
        <x:v>gis_decision</x:v>
      </x:c>
      <x:c r="Q6" s="44" t="str">
        <x:v>備註</x:v>
      </x:c>
    </x:row>
    <x:row r="7" ht="58.5" customHeight="1">
      <x:c r="A7" s="25" t="n">
        <x:v>185</x:v>
      </x:c>
      <x:c r="B7" s="25" t="str">
        <x:v>二十三日</x:v>
      </x:c>
      <x:c r="C7" s="25" t="str">
        <x:v>张真人墓</x:v>
      </x:c>
      <x:c r="D7" s="25" t="str">
        <x:v>歷史遺址</x:v>
      </x:c>
      <x:c r="E7" s="25" t="str">
        <x:v>墓葬／陵墓</x:v>
      </x:c>
      <x:c r="F7" s="27" t="str">
        <x:v>于是南经张真人墓。</x:v>
      </x:c>
      <x:c r="G7" s="25"/>
      <x:c r="H7" s="27"/>
      <x:c r="I7" s="25"/>
      <x:c r="J7" s="25" t="str">
        <x:v>本輪未找到新增可定位原句</x:v>
      </x:c>
      <x:c r="K7" s="25" t="str">
        <x:v>龙虎山／西华山</x:v>
      </x:c>
      <x:c r="L7" s="25" t="str">
        <x:v>廣信府</x:v>
      </x:c>
      <x:c r="M7" s="25" t="str">
        <x:v>貴溪縣</x:v>
      </x:c>
      <x:c r="N7" s="25" t="str">
        <x:v>貴溪市</x:v>
      </x:c>
      <x:c r="O7" s="25"/>
      <x:c r="P7" s="25"/>
      <x:c r="Q7" s="27" t="str">
        <x:v>本輪未找到同時逐字提及此地名及地理資訊的新增識典古籍原句，欄位留空並標紅。</x:v>
      </x:c>
    </x:row>
    <x:row r="8" ht="58.5" customHeight="1">
      <x:c r="A8" s="25" t="n">
        <x:v>186</x:v>
      </x:c>
      <x:c r="B8" s="25" t="str">
        <x:v>二十三日</x:v>
      </x:c>
      <x:c r="C8" s="25" t="str">
        <x:v>五面峰</x:v>
      </x:c>
      <x:c r="D8" s="25" t="str">
        <x:v>自然地理</x:v>
      </x:c>
      <x:c r="E8" s="25" t="str">
        <x:v>山峰</x:v>
      </x:c>
      <x:c r="F8" s="27" t="str">
        <x:v>溪流直逼五面峰下。</x:v>
      </x:c>
      <x:c r="G8" s="25" t="str">
        <x:v>《大明一统名胜志》〈贵溪县〉｜識典古籍｜https://www.shidianguji.com/book/HY0113/chapter/1kec6g7lnndpi</x:v>
      </x:c>
      <x:c r="H8" s="27" t="str">
        <x:v>溪南三峰鼎峙，一名天冠山，同三十余丈，与县治相对；左为小隐岩、五面峰、石祝、金沙诸岭，南为蛾眉石、仙人峰、利益岭、望火。五面山，在县西南七里，五面如削成，东面连弋阳铁山，南面几然却立，最为孤绝。游者必泛贵溪而入，至悬厓处，攀萝而上。</x:v>
      </x:c>
      <x:c r="I8" s="25" t="str">
        <x:v>《乾隆广信府志》卷十六｜識典古籍｜https://www.shidianguji.com/book/HY4622/chapter/1ksj72z5ejqq2</x:v>
      </x:c>
      <x:c r="J8" s="25" t="str">
        <x:v>精確專名＋地理資訊（雙地方志）</x:v>
      </x:c>
      <x:c r="K8" s="25" t="str">
        <x:v>龙虎山／西华山</x:v>
      </x:c>
      <x:c r="L8" s="25" t="str">
        <x:v>廣信府</x:v>
      </x:c>
      <x:c r="M8" s="25" t="str">
        <x:v>貴溪縣</x:v>
      </x:c>
      <x:c r="N8" s="25" t="str">
        <x:v>貴溪市</x:v>
      </x:c>
      <x:c r="O8" s="25"/>
      <x:c r="P8" s="25"/>
      <x:c r="Q8" s="27" t="str">
        <x:v>第二輪識典古籍補查：兩部地方志均提供五面峰／五面山的專名及相對位置；仍需與現代地圖及行程證據交叉，未直接等同於精確座標。</x:v>
      </x:c>
    </x:row>
    <x:row r="9" ht="58.5" customHeight="1">
      <x:c r="A9" s="25" t="n">
        <x:v>191</x:v>
      </x:c>
      <x:c r="B9" s="25" t="str">
        <x:v>二十三日</x:v>
      </x:c>
      <x:c r="C9" s="25" t="str">
        <x:v>五面峰</x:v>
      </x:c>
      <x:c r="D9" s="25" t="str">
        <x:v>自然地理</x:v>
      </x:c>
      <x:c r="E9" s="25" t="str">
        <x:v>山峰</x:v>
      </x:c>
      <x:c r="F9" s="27" t="str">
        <x:v>余意南下者为一线天，西上者为五面峰也。</x:v>
      </x:c>
      <x:c r="G9" s="25" t="str">
        <x:v>《大明一统名胜志》〈贵溪县〉｜識典古籍｜https://www.shidianguji.com/book/HY0113/chapter/1kec6g7lnndpi</x:v>
      </x:c>
      <x:c r="H9" s="27" t="str">
        <x:v>溪南三峰鼎峙，一名天冠山，同三十余丈，与县治相对；左为小隐岩、五面峰、石祝、金沙诸岭，南为蛾眉石、仙人峰、利益岭、望火。五面山，在县西南七里，五面如削成，东面连弋阳铁山，南面几然却立，最为孤绝。游者必泛贵溪而入，至悬厓处，攀萝而上。</x:v>
      </x:c>
      <x:c r="I9" s="25" t="str">
        <x:v>《乾隆广信府志》卷十六｜識典古籍｜https://www.shidianguji.com/book/HY4622/chapter/1ksj72z5ejqq2</x:v>
      </x:c>
      <x:c r="J9" s="25" t="str">
        <x:v>精確專名＋地理資訊（雙地方志）</x:v>
      </x:c>
      <x:c r="K9" s="25" t="str">
        <x:v>龙虎山／西华山</x:v>
      </x:c>
      <x:c r="L9" s="25" t="str">
        <x:v>廣信府</x:v>
      </x:c>
      <x:c r="M9" s="25" t="str">
        <x:v>貴溪縣</x:v>
      </x:c>
      <x:c r="N9" s="25" t="str">
        <x:v>貴溪市</x:v>
      </x:c>
      <x:c r="O9" s="25"/>
      <x:c r="P9" s="25"/>
      <x:c r="Q9" s="27" t="str">
        <x:v>第二輪識典古籍補查：兩部地方志均提供五面峰／五面山的專名及相對位置；仍需與現代地圖及行程證據交叉，未直接等同於精確座標。</x:v>
      </x:c>
    </x:row>
    <x:row r="10" ht="58.5" customHeight="1">
      <x:c r="A10" s="25" t="n">
        <x:v>192</x:v>
      </x:c>
      <x:c r="B10" s="25" t="str">
        <x:v>二十三日</x:v>
      </x:c>
      <x:c r="C10" s="25" t="str">
        <x:v>西华</x:v>
      </x:c>
      <x:c r="D10" s="25" t="str">
        <x:v>自然地理</x:v>
      </x:c>
      <x:c r="E10" s="25" t="str">
        <x:v>山岳</x:v>
      </x:c>
      <x:c r="F10" s="27" t="str">
        <x:v>先跻峰，攀磴里许而至绝顶，则南瞰西华，东瞰夹壁，西瞰南溪，北瞰城邑，皆在指顾。</x:v>
      </x:c>
      <x:c r="G10" s="25"/>
      <x:c r="H10" s="27"/>
      <x:c r="I10" s="25"/>
      <x:c r="J10" s="25" t="str">
        <x:v>本輪未找到新增可定位原句</x:v>
      </x:c>
      <x:c r="K10" s="25" t="str">
        <x:v>龙虎山／西华山</x:v>
      </x:c>
      <x:c r="L10" s="25" t="str">
        <x:v>廣信府</x:v>
      </x:c>
      <x:c r="M10" s="25" t="str">
        <x:v>貴溪縣</x:v>
      </x:c>
      <x:c r="N10" s="25" t="str">
        <x:v>貴溪市</x:v>
      </x:c>
      <x:c r="O10" s="25"/>
      <x:c r="P10" s="25"/>
      <x:c r="Q10" s="27" t="str">
        <x:v>本輪未找到同時逐字提及此地名及地理資訊的新增識典古籍原句，欄位留空並標紅。</x:v>
      </x:c>
    </x:row>
    <x:row r="11" ht="58.5" customHeight="1">
      <x:c r="A11" s="25" t="n">
        <x:v>196</x:v>
      </x:c>
      <x:c r="B11" s="25" t="str">
        <x:v>二十三日</x:v>
      </x:c>
      <x:c r="C11" s="25" t="str">
        <x:v>西华</x:v>
      </x:c>
      <x:c r="D11" s="25" t="str">
        <x:v>自然地理</x:v>
      </x:c>
      <x:c r="E11" s="25" t="str">
        <x:v>山岳</x:v>
      </x:c>
      <x:c r="F11" s="27" t="str">
        <x:v>最南抵西华，以已从五面峰瞰视，遂不复登。</x:v>
      </x:c>
      <x:c r="G11" s="25"/>
      <x:c r="H11" s="27"/>
      <x:c r="I11" s="25"/>
      <x:c r="J11" s="25" t="str">
        <x:v>本輪未找到新增可定位原句</x:v>
      </x:c>
      <x:c r="K11" s="25" t="str">
        <x:v>龙虎山／西华山</x:v>
      </x:c>
      <x:c r="L11" s="25" t="str">
        <x:v>廣信府</x:v>
      </x:c>
      <x:c r="M11" s="25" t="str">
        <x:v>貴溪縣</x:v>
      </x:c>
      <x:c r="N11" s="25" t="str">
        <x:v>貴溪市</x:v>
      </x:c>
      <x:c r="O11" s="25"/>
      <x:c r="P11" s="25"/>
      <x:c r="Q11" s="27" t="str">
        <x:v>本輪未找到同時逐字提及此地名及地理資訊的新增識典古籍原句，欄位留空並標紅。</x:v>
      </x:c>
    </x:row>
    <x:row r="12" ht="58.5" customHeight="1">
      <x:c r="A12" s="25" t="n">
        <x:v>198</x:v>
      </x:c>
      <x:c r="B12" s="25" t="str">
        <x:v>二十三日</x:v>
      </x:c>
      <x:c r="C12" s="25" t="str">
        <x:v>小隐岩</x:v>
      </x:c>
      <x:c r="D12" s="25" t="str">
        <x:v>自然地理</x:v>
      </x:c>
      <x:c r="E12" s="25" t="str">
        <x:v>洞穴</x:v>
      </x:c>
      <x:c r="F12" s="27" t="str">
        <x:v>仍转出一线天，北逾一岭，二里，转而东，入小隐岩。</x:v>
      </x:c>
      <x:c r="G12" s="25" t="str">
        <x:v>《〖光绪〗江西通志》卷五十三｜識典古籍｜https://www.shidianguji.com/book/CADAL02085362/chapter/1lcoab4gbjfh7</x:v>
      </x:c>
      <x:c r="H12" s="27" t="str">
        <x:v>小隐岩在贵溪县南二里一名射虎岩</x:v>
      </x:c>
      <x:c r="I12" s="25"/>
      <x:c r="J12" s="25" t="str">
        <x:v>精確專名＋地理資訊</x:v>
      </x:c>
      <x:c r="K12" s="25" t="str">
        <x:v>龙虎山／西华山</x:v>
      </x:c>
      <x:c r="L12" s="25" t="str">
        <x:v>廣信府</x:v>
      </x:c>
      <x:c r="M12" s="25" t="str">
        <x:v>貴溪縣</x:v>
      </x:c>
      <x:c r="N12" s="25" t="str">
        <x:v>貴溪市</x:v>
      </x:c>
      <x:c r="O12" s="25"/>
      <x:c r="P12" s="25"/>
      <x:c r="Q12" s="27" t="str">
        <x:v>地方志原句可支持專名、異名、相對位置、里數或水系關係；仍需與現代地圖及行程證據交叉。</x:v>
      </x:c>
    </x:row>
    <x:row r="13" ht="58.5" customHeight="1">
      <x:c r="A13" s="25" t="n">
        <x:v>212</x:v>
      </x:c>
      <x:c r="B13" s="25" t="str">
        <x:v>二十三日</x:v>
      </x:c>
      <x:c r="C13" s="25" t="str">
        <x:v>朝真宫</x:v>
      </x:c>
      <x:c r="D13" s="25" t="str">
        <x:v>宗教文化</x:v>
      </x:c>
      <x:c r="E13" s="25" t="str">
        <x:v>寺廟／宮觀</x:v>
      </x:c>
      <x:c r="F13" s="27" t="str">
        <x:v>二僧俱新至托宿，问之，亦不知其为徐岩与否，当即所称朝真宫矣。</x:v>
      </x:c>
      <x:c r="G13" s="25"/>
      <x:c r="H13" s="27"/>
      <x:c r="I13" s="25"/>
      <x:c r="J13" s="25" t="str">
        <x:v>本輪未找到新增可定位原句</x:v>
      </x:c>
      <x:c r="K13" s="25" t="str">
        <x:v>龙虎山／西华山</x:v>
      </x:c>
      <x:c r="L13" s="25" t="str">
        <x:v>廣信府</x:v>
      </x:c>
      <x:c r="M13" s="25" t="str">
        <x:v>貴溪縣</x:v>
      </x:c>
      <x:c r="N13" s="25" t="str">
        <x:v>貴溪市</x:v>
      </x:c>
      <x:c r="O13" s="25"/>
      <x:c r="P13" s="25"/>
      <x:c r="Q13" s="27" t="str">
        <x:v>本輪未找到同時逐字提及此地名及地理資訊的新增識典古籍原句，欄位留空並標紅。</x:v>
      </x:c>
    </x:row>
    <x:row r="14" ht="58.5" customHeight="1">
      <x:c r="A14" s="25" t="n">
        <x:v>626</x:v>
      </x:c>
      <x:c r="B14" s="25" t="str">
        <x:v>二十三日</x:v>
      </x:c>
      <x:c r="C14" s="25" t="str">
        <x:v>大霍岭</x:v>
      </x:c>
      <x:c r="D14" s="25" t="str">
        <x:v>自然地理</x:v>
      </x:c>
      <x:c r="E14" s="25" t="str">
        <x:v>山岳</x:v>
      </x:c>
      <x:c r="F14" s="27" t="str">
        <x:v>从此入山共三里，逾大霍岭，直逼龙骨山下。</x:v>
      </x:c>
      <x:c r="G14" s="25"/>
      <x:c r="H14" s="27"/>
      <x:c r="I14" s="25"/>
      <x:c r="J14" s="25" t="str">
        <x:v>本輪未找到新增可定位原句</x:v>
      </x:c>
      <x:c r="K14" s="25" t="str">
        <x:v>崇仁縣</x:v>
      </x:c>
      <x:c r="L14" s="25" t="str">
        <x:v>撫州府</x:v>
      </x:c>
      <x:c r="M14" s="25" t="str">
        <x:v>崇仁縣</x:v>
      </x:c>
      <x:c r="N14" s="25" t="str">
        <x:v>崇仁縣</x:v>
      </x:c>
      <x:c r="O14" s="25"/>
      <x:c r="P14" s="25"/>
      <x:c r="Q14" s="27" t="str">
        <x:v>本輪未找到同時逐字提及此地名及地理資訊的新增識典古籍原句，欄位留空並標紅。</x:v>
      </x:c>
    </x:row>
    <x:row r="15" ht="58.5" customHeight="1">
      <x:c r="A15" s="25" t="n">
        <x:v>627</x:v>
      </x:c>
      <x:c r="B15" s="25" t="str">
        <x:v>二十三日</x:v>
      </x:c>
      <x:c r="C15" s="25" t="str">
        <x:v>龙骨山</x:v>
      </x:c>
      <x:c r="D15" s="25" t="str">
        <x:v>自然地理</x:v>
      </x:c>
      <x:c r="E15" s="25" t="str">
        <x:v>山岳</x:v>
      </x:c>
      <x:c r="F15" s="27" t="str">
        <x:v>从此入山共三里，逾大霍岭，直逼龙骨山下。</x:v>
      </x:c>
      <x:c r="G15" s="25"/>
      <x:c r="H15" s="27"/>
      <x:c r="I15" s="25"/>
      <x:c r="J15" s="25" t="str">
        <x:v>本輪未找到新增可定位原句</x:v>
      </x:c>
      <x:c r="K15" s="25" t="str">
        <x:v>崇仁縣</x:v>
      </x:c>
      <x:c r="L15" s="25" t="str">
        <x:v>撫州府</x:v>
      </x:c>
      <x:c r="M15" s="25" t="str">
        <x:v>崇仁縣</x:v>
      </x:c>
      <x:c r="N15" s="25" t="str">
        <x:v>崇仁縣</x:v>
      </x:c>
      <x:c r="O15" s="25"/>
      <x:c r="P15" s="25"/>
      <x:c r="Q15" s="27" t="str">
        <x:v>本輪未找到同時逐字提及此地名及地理資訊的新增識典古籍原句，欄位留空並標紅。</x:v>
      </x:c>
    </x:row>
    <x:row r="16" ht="58.5" customHeight="1">
      <x:c r="A16" s="25" t="n">
        <x:v>628</x:v>
      </x:c>
      <x:c r="B16" s="25" t="str">
        <x:v>二十三日</x:v>
      </x:c>
      <x:c r="C16" s="25" t="str">
        <x:v>骨岭</x:v>
      </x:c>
      <x:c r="D16" s="25" t="str">
        <x:v>自然地理</x:v>
      </x:c>
      <x:c r="E16" s="25" t="str">
        <x:v>山岳</x:v>
      </x:c>
      <x:c r="F16" s="27" t="str">
        <x:v>又二里，逾骨岭，水犹东注。</x:v>
      </x:c>
      <x:c r="G16" s="25"/>
      <x:c r="H16" s="27"/>
      <x:c r="I16" s="25"/>
      <x:c r="J16" s="25" t="str">
        <x:v>本輪未找到新增可定位原句</x:v>
      </x:c>
      <x:c r="K16" s="25" t="str">
        <x:v>崇仁縣</x:v>
      </x:c>
      <x:c r="L16" s="25" t="str">
        <x:v>撫州府</x:v>
      </x:c>
      <x:c r="M16" s="25" t="str">
        <x:v>崇仁縣</x:v>
      </x:c>
      <x:c r="N16" s="25" t="str">
        <x:v>崇仁縣</x:v>
      </x:c>
      <x:c r="O16" s="25"/>
      <x:c r="P16" s="25"/>
      <x:c r="Q16" s="27" t="str">
        <x:v>本輪未找到同時逐字提及此地名及地理資訊的新增識典古籍原句，欄位留空並標紅。</x:v>
      </x:c>
    </x:row>
    <x:row r="17" ht="58.5" customHeight="1">
      <x:c r="A17" s="25" t="n">
        <x:v>629</x:v>
      </x:c>
      <x:c r="B17" s="25" t="str">
        <x:v>二十三日</x:v>
      </x:c>
      <x:c r="C17" s="25" t="str">
        <x:v>幞头岭</x:v>
      </x:c>
      <x:c r="D17" s="25" t="str">
        <x:v>自然地理</x:v>
      </x:c>
      <x:c r="E17" s="25" t="str">
        <x:v>山岳</x:v>
      </x:c>
      <x:c r="F17" s="27" t="str">
        <x:v>又三里，下幞头岭，水始西流。</x:v>
      </x:c>
      <x:c r="G17" s="25"/>
      <x:c r="H17" s="27"/>
      <x:c r="I17" s="25"/>
      <x:c r="J17" s="25" t="str">
        <x:v>本輪未找到新增可定位原句</x:v>
      </x:c>
      <x:c r="K17" s="25" t="str">
        <x:v>崇仁縣</x:v>
      </x:c>
      <x:c r="L17" s="25" t="str">
        <x:v>撫州府</x:v>
      </x:c>
      <x:c r="M17" s="25" t="str">
        <x:v>崇仁縣</x:v>
      </x:c>
      <x:c r="N17" s="25" t="str">
        <x:v>崇仁縣</x:v>
      </x:c>
      <x:c r="O17" s="25"/>
      <x:c r="P17" s="25"/>
      <x:c r="Q17" s="27" t="str">
        <x:v>本輪未找到同時逐字提及此地名及地理資訊的新增識典古籍原句，欄位留空並標紅。</x:v>
      </x:c>
    </x:row>
    <x:row r="18" ht="58.5" customHeight="1">
      <x:c r="A18" s="25" t="n">
        <x:v>630</x:v>
      </x:c>
      <x:c r="B18" s="25" t="str">
        <x:v>二十三日</x:v>
      </x:c>
      <x:c r="C18" s="25" t="str">
        <x:v>纯乡</x:v>
      </x:c>
      <x:c r="D18" s="25" t="str">
        <x:v>聚落</x:v>
      </x:c>
      <x:c r="E18" s="25" t="str">
        <x:v>聚落</x:v>
      </x:c>
      <x:c r="F18" s="27" t="str">
        <x:v>又四里至纯乡，则一溪自南而北矣。</x:v>
      </x:c>
      <x:c r="G18" s="25"/>
      <x:c r="H18" s="27"/>
      <x:c r="I18" s="25"/>
      <x:c r="J18" s="25" t="str">
        <x:v>本輪未找到新增可定位原句</x:v>
      </x:c>
      <x:c r="K18" s="25" t="str">
        <x:v>崇仁縣</x:v>
      </x:c>
      <x:c r="L18" s="25" t="str">
        <x:v>撫州府</x:v>
      </x:c>
      <x:c r="M18" s="25" t="str">
        <x:v>崇仁縣</x:v>
      </x:c>
      <x:c r="N18" s="25" t="str">
        <x:v>崇仁縣</x:v>
      </x:c>
      <x:c r="O18" s="25"/>
      <x:c r="P18" s="25"/>
      <x:c r="Q18" s="27" t="str">
        <x:v>本輪未找到同時逐字提及此地名及地理資訊的新增識典古籍原句，欄位留空並標紅。</x:v>
      </x:c>
    </x:row>
    <x:row r="19" ht="58.5" customHeight="1">
      <x:c r="A19" s="25" t="n">
        <x:v>631</x:v>
      </x:c>
      <x:c r="B19" s="25" t="str">
        <x:v>二十三日</x:v>
      </x:c>
      <x:c r="C19" s="25" t="str">
        <x:v>纯乡村</x:v>
      </x:c>
      <x:c r="D19" s="25" t="str">
        <x:v>村莊</x:v>
      </x:c>
      <x:c r="E19" s="25" t="str">
        <x:v>村莊／寨</x:v>
      </x:c>
      <x:c r="F19" s="27" t="str">
        <x:v>渡溪桥是为纯乡村，有居民颇众。</x:v>
      </x:c>
      <x:c r="G19" s="25"/>
      <x:c r="H19" s="27"/>
      <x:c r="I19" s="25"/>
      <x:c r="J19" s="25" t="str">
        <x:v>本輪未找到新增可定位原句</x:v>
      </x:c>
      <x:c r="K19" s="25" t="str">
        <x:v>崇仁縣</x:v>
      </x:c>
      <x:c r="L19" s="25" t="str">
        <x:v>撫州府</x:v>
      </x:c>
      <x:c r="M19" s="25" t="str">
        <x:v>崇仁縣</x:v>
      </x:c>
      <x:c r="N19" s="25" t="str">
        <x:v>崇仁縣</x:v>
      </x:c>
      <x:c r="O19" s="25"/>
      <x:c r="P19" s="25"/>
      <x:c r="Q19" s="27" t="str">
        <x:v>本輪未找到同時逐字提及此地名及地理資訊的新增識典古籍原句，欄位留空並標紅。</x:v>
      </x:c>
    </x:row>
    <x:row r="20" ht="58.5" customHeight="1">
      <x:c r="A20" s="25" t="n">
        <x:v>633</x:v>
      </x:c>
      <x:c r="B20" s="25" t="str">
        <x:v>二十三日</x:v>
      </x:c>
      <x:c r="C20" s="25" t="str">
        <x:v>干冈岭</x:v>
      </x:c>
      <x:c r="D20" s="25" t="str">
        <x:v>自然地理</x:v>
      </x:c>
      <x:c r="E20" s="25" t="str">
        <x:v>山岳</x:v>
      </x:c>
      <x:c r="F20" s="27" t="str">
        <x:v>南循小水一里，西登干冈岭，岭颇峻，逾岭而下，纯西南行矣。</x:v>
      </x:c>
      <x:c r="G20" s="25"/>
      <x:c r="H20" s="27"/>
      <x:c r="I20" s="25"/>
      <x:c r="J20" s="25" t="str">
        <x:v>本輪未找到新增可定位原句</x:v>
      </x:c>
      <x:c r="K20" s="25" t="str">
        <x:v>崇仁縣</x:v>
      </x:c>
      <x:c r="L20" s="25" t="str">
        <x:v>撫州府</x:v>
      </x:c>
      <x:c r="M20" s="25" t="str">
        <x:v>崇仁縣</x:v>
      </x:c>
      <x:c r="N20" s="25" t="str">
        <x:v>崇仁縣</x:v>
      </x:c>
      <x:c r="O20" s="25"/>
      <x:c r="P20" s="25"/>
      <x:c r="Q20" s="27" t="str">
        <x:v>本輪未找到同時逐字提及此地名及地理資訊的新增識典古籍原句，欄位留空並標紅。</x:v>
      </x:c>
    </x:row>
    <x:row r="21" ht="58.5" customHeight="1">
      <x:c r="A21" s="25" t="n">
        <x:v>636</x:v>
      </x:c>
      <x:c r="B21" s="25" t="str">
        <x:v>二十三日</x:v>
      </x:c>
      <x:c r="C21" s="25" t="str">
        <x:v>巴溪</x:v>
      </x:c>
      <x:c r="D21" s="25" t="str">
        <x:v>水系</x:v>
      </x:c>
      <x:c r="E21" s="25" t="str">
        <x:v>江河</x:v>
      </x:c>
      <x:c r="F21" s="27" t="str">
        <x:v>又西五里，过练树桥，桥跨巴溪之上。</x:v>
      </x:c>
      <x:c r="G21" s="25" t="str">
        <x:v>《〖光绪〗江西通志》卷五十九｜識典古籍｜https://www.shidianguji.com/book/CADAL02085362/chapter/1lcoabpnkbevv</x:v>
      </x:c>
      <x:c r="H21" s="27" t="str">
        <x:v>旴江，在府城东门外，一名建昌江，源出广昌县南血木岭，流六十里为旴水，又二十里为巴溪，又十五里为小勋溪，又五里许，至广昌县前五十里，入南丰县界，东北流百九十里，至府城为旴江，会新城县飞猿、黎滩二水，又东北流六十余里，入抚州临川县界。</x:v>
      </x:c>
      <x:c r="I21" s="25"/>
      <x:c r="J21" s="25" t="str">
        <x:v>精確專名＋地理資訊</x:v>
      </x:c>
      <x:c r="K21" s="25" t="str">
        <x:v>崇仁縣</x:v>
      </x:c>
      <x:c r="L21" s="25" t="str">
        <x:v>撫州府</x:v>
      </x:c>
      <x:c r="M21" s="25" t="str">
        <x:v>崇仁縣</x:v>
      </x:c>
      <x:c r="N21" s="25" t="str">
        <x:v>崇仁縣</x:v>
      </x:c>
      <x:c r="O21" s="25"/>
      <x:c r="P21" s="25"/>
      <x:c r="Q21" s="27" t="str">
        <x:v>地方志原句可支持專名、異名、相對位置、里數或水系關係；仍需與現代地圖及行程證據交叉。</x:v>
      </x:c>
    </x:row>
    <x:row r="22" ht="58.5" customHeight="1">
      <x:c r="A22" s="26" t="n">
        <x:v>650</x:v>
      </x:c>
      <x:c r="B22" s="26" t="str">
        <x:v>二十三日</x:v>
      </x:c>
      <x:c r="C22" s="26" t="str">
        <x:v>朱碧街</x:v>
      </x:c>
      <x:c r="D22" s="26" t="str">
        <x:v>聚落</x:v>
      </x:c>
      <x:c r="E22" s="26" t="str">
        <x:v>聚落</x:v>
      </x:c>
      <x:c r="F22" s="28" t="str">
        <x:v>自练树桥又五里而至朱碧街。</x:v>
      </x:c>
      <x:c r="G22" s="26"/>
      <x:c r="H22" s="28"/>
      <x:c r="I22" s="26"/>
      <x:c r="J22" s="26" t="str">
        <x:v>本輪未找到新增可定位原句</x:v>
      </x:c>
      <x:c r="K22" s="26" t="str">
        <x:v>崇仁縣</x:v>
      </x:c>
      <x:c r="L22" s="26" t="str">
        <x:v>撫州府</x:v>
      </x:c>
      <x:c r="M22" s="26" t="str">
        <x:v>崇仁縣</x:v>
      </x:c>
      <x:c r="N22" s="26" t="str">
        <x:v>崇仁縣</x:v>
      </x:c>
      <x:c r="O22" s="26"/>
      <x:c r="P22" s="26"/>
      <x:c r="Q22" s="28" t="str">
        <x:v>本輪未找到同時逐字提及此地名及地理資訊的新增識典古籍原句，欄位留空並標紅。</x:v>
      </x:c>
    </x:row>
  </x:sheetData>
  <x:mergeCells>
    <x:mergeCell ref="A1:Q1"/>
    <x:mergeCell ref="A2:Q2"/>
    <x:mergeCell ref="A3:Q3"/>
    <x:mergeCell ref="A4:Q4"/>
  </x:mergeCells>
  <x:pageMargins left="0.7" right="0.7" top="0.75" bottom="0.75" header="0.3" footer="0.3"/>
  <x:tableParts count="1">
    <x:tablePart xmlns:r="http://schemas.openxmlformats.org/officeDocument/2006/relationships" r:id="R53cf7c4bb5784d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6.110000610351562" hidden="0" customWidth="1"/>
    <x:col min="5" max="5" width="13.329999923706055" hidden="0" customWidth="1"/>
    <x:col min="6" max="6" width="13.329999923706055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6.110000610351562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6.110000610351562" hidden="0" customWidth="1"/>
    <x:col min="18" max="18" width="16.110000610351562" hidden="0" customWidth="1"/>
    <x:col min="19" max="19" width="16.110000610351562" hidden="0" customWidth="1"/>
    <x:col min="20" max="20" width="16.110000610351562" hidden="0" customWidth="1"/>
    <x:col min="21" max="21" width="13.329999923706055" hidden="0" customWidth="1"/>
    <x:col min="22" max="22" width="28.889999389648438" hidden="0" customWidth="1"/>
    <x:col min="23" max="23" width="28.889999389648438" hidden="0" customWidth="1"/>
    <x:col min="24" max="24" width="28.889999389648438" hidden="0" customWidth="1"/>
  </x:cols>
  <x:sheetData>
    <x:row r="1" ht="24" customHeight="1">
      <x:c r="A1" s="48" t="str">
        <x:v>江右游日記二十三日｜步驟四：經緯度範圍與行政邊界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</x:row>
    <x:row r="2" ht="28.5" customHeight="1">
      <x:c r="A2" s="8" t="str">
        <x:f>"二十三日結果｜"&amp;COUNTA(A7:A40)&amp;" 筆｜"&amp;"全部 34 個行政區摘要；邊界頂點另保留於原始工作簿"</x:f>
        <x:v>二十三日結果｜34 筆｜全部 34 個行政區摘要；邊界頂點另保留於原始工作簿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3" ht="18.75" customHeight="1">
      <x:c r="A3" s="12" t="str">
        <x:v>Prompt｜本步驟獨立操作指令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78.75" customHeight="1">
      <x:c r="A4" s="16" t="str">
        <x:v>請以古今行政區 polygon、前後已確認錨點、地方志方向與里數設定候選經緯度範圍。保存 bbox、走廊及 WKT；區域級證據只支持搜尋範圍，不得用縣治或 bbox 中心冒充微地名精確座標。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</x:row>
    <x:row r="6" ht="36" customHeight="1">
      <x:c r="A6" s="52" t="str">
        <x:v>boundary_id</x:v>
      </x:c>
      <x:c r="B6" s="52" t="str">
        <x:v>行政層級</x:v>
      </x:c>
      <x:c r="C6" s="52" t="str">
        <x:v>現代省級</x:v>
      </x:c>
      <x:c r="D6" s="52" t="str">
        <x:v>現代地級</x:v>
      </x:c>
      <x:c r="E6" s="52" t="str">
        <x:v>現代縣級</x:v>
      </x:c>
      <x:c r="F6" s="52" t="str">
        <x:v>行政區名稱</x:v>
      </x:c>
      <x:c r="G6" s="52" t="str">
        <x:v>中心經度</x:v>
      </x:c>
      <x:c r="H6" s="52" t="str">
        <x:v>中心緯度</x:v>
      </x:c>
      <x:c r="I6" s="52" t="str">
        <x:v>最小經度</x:v>
      </x:c>
      <x:c r="J6" s="52" t="str">
        <x:v>最小緯度</x:v>
      </x:c>
      <x:c r="K6" s="52" t="str">
        <x:v>最大經度</x:v>
      </x:c>
      <x:c r="L6" s="52" t="str">
        <x:v>最大緯度</x:v>
      </x:c>
      <x:c r="M6" s="52" t="str">
        <x:v>geometry_type</x:v>
      </x:c>
      <x:c r="N6" s="52" t="str">
        <x:v>polygon數</x:v>
      </x:c>
      <x:c r="O6" s="52" t="str">
        <x:v>ring數</x:v>
      </x:c>
      <x:c r="P6" s="52" t="str">
        <x:v>頂點數</x:v>
      </x:c>
      <x:c r="Q6" s="52" t="str">
        <x:v>簡化容差（度）</x:v>
      </x:c>
      <x:c r="R6" s="52" t="str">
        <x:v>CHGIS歷史單位</x:v>
      </x:c>
      <x:c r="S6" s="52" t="str">
        <x:v>CHGIS治所POINT</x:v>
      </x:c>
      <x:c r="T6" s="52" t="str">
        <x:v>CHGIS錨點核對</x:v>
      </x:c>
      <x:c r="U6" s="52" t="str">
        <x:v>邊界配對狀態</x:v>
      </x:c>
      <x:c r="V6" s="52" t="str">
        <x:v>現代邊界來源</x:v>
      </x:c>
      <x:c r="W6" s="52" t="str">
        <x:v>CHGIS來源</x:v>
      </x:c>
      <x:c r="X6" s="52" t="str">
        <x:v>用途及限制</x:v>
      </x:c>
    </x:row>
    <x:row r="7" ht="58.5" customHeight="1">
      <x:c r="A7" s="25" t="str">
        <x:v>ADM-001</x:v>
      </x:c>
      <x:c r="B7" s="25" t="str">
        <x:v>省級</x:v>
      </x:c>
      <x:c r="C7" s="25" t="str">
        <x:v>江西省</x:v>
      </x:c>
      <x:c r="D7" s="25"/>
      <x:c r="E7" s="25"/>
      <x:c r="F7" s="25" t="str">
        <x:v>江西省</x:v>
      </x:c>
      <x:c r="G7" s="53" t="n">
        <x:v>116</x:v>
      </x:c>
      <x:c r="H7" s="53" t="n">
        <x:v>28</x:v>
      </x:c>
      <x:c r="I7" s="53" t="n">
        <x:v>113.5749006</x:v>
      </x:c>
      <x:c r="J7" s="53" t="n">
        <x:v>24.4888474</x:v>
      </x:c>
      <x:c r="K7" s="53" t="n">
        <x:v>118.482163</x:v>
      </x:c>
      <x:c r="L7" s="53" t="n">
        <x:v>30.0799869</x:v>
      </x:c>
      <x:c r="M7" s="25" t="str">
        <x:v>MultiPolygon</x:v>
      </x:c>
      <x:c r="N7" s="25" t="n">
        <x:v>5</x:v>
      </x:c>
      <x:c r="O7" s="25" t="n">
        <x:v>5</x:v>
      </x:c>
      <x:c r="P7" s="25" t="n">
        <x:v>4182</x:v>
      </x:c>
      <x:c r="Q7" s="25" t="n">
        <x:v>0.001</x:v>
      </x:c>
      <x:c r="R7" s="25" t="str">
        <x:v>玉山縣；永豐縣；上饒縣；鉛山縣；貴溪縣；興安縣；弋陽縣；安仁縣；金谿縣；南城縣；新城縣；南豐縣；宜黃縣；臨川縣；崇仁縣；樂安縣；吉水縣；廬陵縣；永新縣；安福縣</x:v>
      </x:c>
      <x:c r="S7" s="25" t="str">
        <x:v>玉山縣@118.240180,28.679600；永豐縣@118.191360,28.438470；上饒縣@117.964890,28.450690；鉛山縣@117.776590,28.208450；貴溪縣@117.202270,28.287900；興安縣@117.603050,28.423760；弋陽縣@117.421310,28.401880；安仁縣@116.903260,28.404430；金谿縣@116.776260,27.910080；南城縣@116.627450,27.559720；新城縣@116.914230,27.296830；南豐縣@116.529930,27.214310；宜黃縣@116.210180,27.546390；臨川縣@116.351340,27.984780；崇仁縣@116.061580,27.755640；樂安縣@115.831780,27.426290；永豐縣@115.432720,27.322110；吉水縣@115.132250,27.214370；廬陵縣@114.971280,27.103240；永新縣@114.236870,26.945560；安福縣@114.608450,27.382460</x:v>
      </x:c>
      <x:c r="T7" s="25" t="str">
        <x:v>confirmed（inside 21；outside 0）</x:v>
      </x:c>
      <x:c r="U7" s="25" t="str">
        <x:v>confirmed</x:v>
      </x:c>
      <x:c r="V7" s="25" t="str">
        <x:v>https://www.openstreetmap.org/relation/913109
https://nominatim.openstreetmap.org/search?q=%E6%B1%9F%E8%A5%BF%E7%9C%81%2C+%E4%B8%AD%E5%9B%BD&amp;format=jsonv2&amp;polygon_geojson=1&amp;polygon_threshold=0.001&amp;addressdetails=1&amp;limit=5&amp;countrycodes=cn&amp;accept-language=zh-CN</x:v>
      </x:c>
      <x:c r="W7" s="25" t="str">
        <x:v>https://chgis.hudci.org/tgaz/placename/hvd_41214
https://chgis.hudci.org/tgaz/placename/hvd_41209
https://chgis.hudci.org/tgaz/placename/hvd_41201
https://chgis.hudci.org/tgaz/placename/hvd_41207
https://chgis.hudci.org/tgaz/placename/hvd_41204
https://chgis.hudci.org/tgaz/placename/hvd_41213
https://chgis.hudci.org/tgaz/placename/hvd_41203
https://chgis.hudci.org/tgaz/placename/hvd_41187
https://chgis.hudci.org/tgaz/placename/hvd_41000
https://chgis.hudci.org/tgaz/placename/hvd_40982
https://chgis.hudci.org/tgaz/placename/hvd_40983
https://chgis.hudci.org/tgaz/placename/hvd_40987
https://chgis.hudci.org/tgaz/placename/hvd_41003
https://chgis.hudci.org/tgaz/placename/hvd_40998
https://chgis.hudci.org/tgaz/placename/hvd_40999
https://chgis.hudci.org/tgaz/placename/hvd_41004
https://chgis.hudci.org/tgaz/placename/hvd_40901
https://chgis.hudci.org/tgaz/placename/hvd_40897
https://chgis.hudci.org/tgaz/placename/hvd_40888
https://chgis.hudci.org/tgaz/placename/hvd_40926
https://chgis.hudci.org/tgaz/placename/hvd_40913</x:v>
      </x:c>
      <x:c r="X7" s="25" t="str">
        <x:v>只作下一階段候選點的bbox→polygon限制；非法律界線。邊界經0.001°拓撲保留簡化；近界候選建議加0.01° buffer。</x:v>
      </x:c>
    </x:row>
    <x:row r="8" ht="58.5" customHeight="1">
      <x:c r="A8" s="25" t="str">
        <x:v>ADM-002</x:v>
      </x:c>
      <x:c r="B8" s="25" t="str">
        <x:v>省級</x:v>
      </x:c>
      <x:c r="C8" s="25" t="str">
        <x:v>浙江省</x:v>
      </x:c>
      <x:c r="D8" s="25"/>
      <x:c r="E8" s="25"/>
      <x:c r="F8" s="25" t="str">
        <x:v>浙江省</x:v>
      </x:c>
      <x:c r="G8" s="53" t="n">
        <x:v>119.9999999</x:v>
      </x:c>
      <x:c r="H8" s="53" t="n">
        <x:v>29.0000001</x:v>
      </x:c>
      <x:c r="I8" s="53" t="n">
        <x:v>118.022407</x:v>
      </x:c>
      <x:c r="J8" s="53" t="n">
        <x:v>27.0449372</x:v>
      </x:c>
      <x:c r="K8" s="53" t="n">
        <x:v>123.3936224</x:v>
      </x:c>
      <x:c r="L8" s="53" t="n">
        <x:v>31.1825784</x:v>
      </x:c>
      <x:c r="M8" s="25" t="str">
        <x:v>Polygon</x:v>
      </x:c>
      <x:c r="N8" s="25" t="n">
        <x:v>1</x:v>
      </x:c>
      <x:c r="O8" s="25" t="n">
        <x:v>2</x:v>
      </x:c>
      <x:c r="P8" s="25" t="n">
        <x:v>3000</x:v>
      </x:c>
      <x:c r="Q8" s="25" t="n">
        <x:v>0.001</x:v>
      </x:c>
      <x:c r="R8" s="25" t="str">
        <x:v>常山縣</x:v>
      </x:c>
      <x:c r="S8" s="25" t="str">
        <x:v>常山縣@118.502660,28.903730</x:v>
      </x:c>
      <x:c r="T8" s="25" t="str">
        <x:v>confirmed（inside 1；outside 0）</x:v>
      </x:c>
      <x:c r="U8" s="25" t="str">
        <x:v>confirmed</x:v>
      </x:c>
      <x:c r="V8" s="25" t="str">
        <x:v>https://www.openstreetmap.org/relation/553302
https://nominatim.openstreetmap.org/search?q=%E6%B5%99%E6%B1%9F%E7%9C%81%2C+%E4%B8%AD%E5%9B%BD&amp;format=jsonv2&amp;polygon_geojson=1&amp;polygon_threshold=0.001&amp;addressdetails=1&amp;limit=5&amp;countrycodes=cn&amp;accept-language=zh-CN</x:v>
      </x:c>
      <x:c r="W8" s="25" t="str">
        <x:v>https://chgis.hudci.org/tgaz/placename/hvd_40629</x:v>
      </x:c>
      <x:c r="X8" s="25" t="str">
        <x:v>只作下一階段候選點的bbox→polygon限制；非法律界線。邊界經0.001°拓撲保留簡化；近界候選建議加0.01° buffer。</x:v>
      </x:c>
    </x:row>
    <x:row r="9" ht="58.5" customHeight="1">
      <x:c r="A9" s="25" t="str">
        <x:v>ADM-003</x:v>
      </x:c>
      <x:c r="B9" s="25" t="str">
        <x:v>省級</x:v>
      </x:c>
      <x:c r="C9" s="25" t="str">
        <x:v>湖南省</x:v>
      </x:c>
      <x:c r="D9" s="25"/>
      <x:c r="E9" s="25"/>
      <x:c r="F9" s="25" t="str">
        <x:v>湖南省</x:v>
      </x:c>
      <x:c r="G9" s="53" t="n">
        <x:v>111.7487063</x:v>
      </x:c>
      <x:c r="H9" s="53" t="n">
        <x:v>27.6662087</x:v>
      </x:c>
      <x:c r="I9" s="53" t="n">
        <x:v>108.7860944</x:v>
      </x:c>
      <x:c r="J9" s="53" t="n">
        <x:v>24.6402179</x:v>
      </x:c>
      <x:c r="K9" s="53" t="n">
        <x:v>114.2560358</x:v>
      </x:c>
      <x:c r="L9" s="53" t="n">
        <x:v>30.1284258</x:v>
      </x:c>
      <x:c r="M9" s="25" t="str">
        <x:v>MultiPolygon</x:v>
      </x:c>
      <x:c r="N9" s="25" t="n">
        <x:v>3</x:v>
      </x:c>
      <x:c r="O9" s="25" t="n">
        <x:v>7</x:v>
      </x:c>
      <x:c r="P9" s="25" t="n">
        <x:v>4231</x:v>
      </x:c>
      <x:c r="Q9" s="25" t="n">
        <x:v>0.001</x:v>
      </x:c>
      <x:c r="R9" s="25" t="str">
        <x:v>茶陵州</x:v>
      </x:c>
      <x:c r="S9" s="25" t="str">
        <x:v>茶陵州@113.552170,26.801980</x:v>
      </x:c>
      <x:c r="T9" s="25" t="str">
        <x:v>confirmed（inside 1；outside 0）</x:v>
      </x:c>
      <x:c r="U9" s="25" t="str">
        <x:v>confirmed</x:v>
      </x:c>
      <x:c r="V9" s="25" t="str">
        <x:v>https://www.openstreetmap.org/relation/913073
https://nominatim.openstreetmap.org/search?q=%E6%B9%96%E5%8D%97%E7%9C%81%2C+%E4%B8%AD%E5%9B%BD&amp;format=jsonv2&amp;polygon_geojson=1&amp;polygon_threshold=0.001&amp;addressdetails=1&amp;limit=5&amp;countrycodes=cn&amp;accept-language=zh-CN</x:v>
      </x:c>
      <x:c r="W9" s="25" t="str">
        <x:v>https://chgis.hudci.org/tgaz/placename/hvd_41774</x:v>
      </x:c>
      <x:c r="X9" s="25" t="str">
        <x:v>只作下一階段候選點的bbox→polygon限制；非法律界線。邊界經0.001°拓撲保留簡化；近界候選建議加0.01° buffer。</x:v>
      </x:c>
    </x:row>
    <x:row r="10" ht="58.5" customHeight="1">
      <x:c r="A10" s="25" t="str">
        <x:v>ADM-004</x:v>
      </x:c>
      <x:c r="B10" s="25" t="str">
        <x:v>地級</x:v>
      </x:c>
      <x:c r="C10" s="25" t="str">
        <x:v>江西省</x:v>
      </x:c>
      <x:c r="D10" s="25" t="str">
        <x:v>上饒市</x:v>
      </x:c>
      <x:c r="E10" s="25"/>
      <x:c r="F10" s="25" t="str">
        <x:v>上饒市</x:v>
      </x:c>
      <x:c r="G10" s="53" t="n">
        <x:v>117.40539</x:v>
      </x:c>
      <x:c r="H10" s="53" t="n">
        <x:v>28.7435852</x:v>
      </x:c>
      <x:c r="I10" s="53" t="n">
        <x:v>116.2240265</x:v>
      </x:c>
      <x:c r="J10" s="53" t="n">
        <x:v>27.8035885</x:v>
      </x:c>
      <x:c r="K10" s="53" t="n">
        <x:v>118.482163</x:v>
      </x:c>
      <x:c r="L10" s="53" t="n">
        <x:v>29.7018287</x:v>
      </x:c>
      <x:c r="M10" s="25" t="str">
        <x:v>MultiPolygon</x:v>
      </x:c>
      <x:c r="N10" s="25" t="n">
        <x:v>3</x:v>
      </x:c>
      <x:c r="O10" s="25" t="n">
        <x:v>3</x:v>
      </x:c>
      <x:c r="P10" s="25" t="n">
        <x:v>2870</x:v>
      </x:c>
      <x:c r="Q10" s="25" t="n">
        <x:v>0.001</x:v>
      </x:c>
      <x:c r="R10" s="25" t="str">
        <x:v>玉山縣；永豐縣；上饒縣；鉛山縣；興安縣；弋陽縣</x:v>
      </x:c>
      <x:c r="S10" s="25" t="str">
        <x:v>玉山縣@118.240180,28.679600；永豐縣@118.191360,28.438470；上饒縣@117.964890,28.450690；鉛山縣@117.776590,28.208450；興安縣@117.603050,28.423760；弋陽縣@117.421310,28.401880</x:v>
      </x:c>
      <x:c r="T10" s="25" t="str">
        <x:v>confirmed（inside 6；outside 0）</x:v>
      </x:c>
      <x:c r="U10" s="25" t="str">
        <x:v>confirmed</x:v>
      </x:c>
      <x:c r="V10" s="25" t="str">
        <x:v>https://www.openstreetmap.org/relation/3046790
https://nominatim.openstreetmap.org/search?q=%E4%B8%8A%E9%A5%B6%E5%B8%82%2C+%E6%B1%9F%E8%A5%BF%E7%9C%81%2C+%E4%B8%AD%E5%9B%BD&amp;format=jsonv2&amp;polygon_geojson=1&amp;polygon_threshold=0.001&amp;addressdetails=1&amp;limit=5&amp;countrycodes=cn&amp;accept-language=zh-CN</x:v>
      </x:c>
      <x:c r="W10" s="25" t="str">
        <x:v>https://chgis.hudci.org/tgaz/placename/hvd_41214
https://chgis.hudci.org/tgaz/placename/hvd_41209
https://chgis.hudci.org/tgaz/placename/hvd_41201
https://chgis.hudci.org/tgaz/placename/hvd_41207
https://chgis.hudci.org/tgaz/placename/hvd_41213
https://chgis.hudci.org/tgaz/placename/hvd_41203</x:v>
      </x:c>
      <x:c r="X10" s="25" t="str">
        <x:v>只作下一階段候選點的bbox→polygon限制；非法律界線。邊界經0.001°拓撲保留簡化；近界候選建議加0.01° buffer。</x:v>
      </x:c>
    </x:row>
    <x:row r="11" ht="58.5" customHeight="1">
      <x:c r="A11" s="25" t="str">
        <x:v>ADM-005</x:v>
      </x:c>
      <x:c r="B11" s="25" t="str">
        <x:v>地級</x:v>
      </x:c>
      <x:c r="C11" s="25" t="str">
        <x:v>江西省</x:v>
      </x:c>
      <x:c r="D11" s="25" t="str">
        <x:v>吉安市</x:v>
      </x:c>
      <x:c r="E11" s="25"/>
      <x:c r="F11" s="25" t="str">
        <x:v>吉安市</x:v>
      </x:c>
      <x:c r="G11" s="53" t="n">
        <x:v>114.961355</x:v>
      </x:c>
      <x:c r="H11" s="53" t="n">
        <x:v>27.0937349</x:v>
      </x:c>
      <x:c r="I11" s="53" t="n">
        <x:v>113.8290882</x:v>
      </x:c>
      <x:c r="J11" s="53" t="n">
        <x:v>25.9751756</x:v>
      </x:c>
      <x:c r="K11" s="53" t="n">
        <x:v>115.930953</x:v>
      </x:c>
      <x:c r="L11" s="53" t="n">
        <x:v>27.9660198</x:v>
      </x:c>
      <x:c r="M11" s="25" t="str">
        <x:v>Polygon</x:v>
      </x:c>
      <x:c r="N11" s="25" t="n">
        <x:v>1</x:v>
      </x:c>
      <x:c r="O11" s="25" t="n">
        <x:v>1</x:v>
      </x:c>
      <x:c r="P11" s="25" t="n">
        <x:v>1871</x:v>
      </x:c>
      <x:c r="Q11" s="25" t="n">
        <x:v>0.001</x:v>
      </x:c>
      <x:c r="R11" s="25" t="str">
        <x:v>永豐縣；吉水縣；廬陵縣；永新縣；安福縣</x:v>
      </x:c>
      <x:c r="S11" s="25" t="str">
        <x:v>永豐縣@115.432720,27.322110；吉水縣@115.132250,27.214370；廬陵縣@114.971280,27.103240；永新縣@114.236870,26.945560；安福縣@114.608450,27.382460</x:v>
      </x:c>
      <x:c r="T11" s="25" t="str">
        <x:v>confirmed（inside 5；outside 0）</x:v>
      </x:c>
      <x:c r="U11" s="25" t="str">
        <x:v>confirmed</x:v>
      </x:c>
      <x:c r="V11" s="25" t="str">
        <x:v>https://www.openstreetmap.org/relation/2950516
https://nominatim.openstreetmap.org/search?q=%E5%90%89%E5%AE%89%E5%B8%82%2C+%E6%B1%9F%E8%A5%BF%E7%9C%81%2C+%E4%B8%AD%E5%9B%BD&amp;format=jsonv2&amp;polygon_geojson=1&amp;polygon_threshold=0.001&amp;addressdetails=1&amp;limit=5&amp;countrycodes=cn&amp;accept-language=zh-CN</x:v>
      </x:c>
      <x:c r="W11" s="25" t="str">
        <x:v>https://chgis.hudci.org/tgaz/placename/hvd_40901
https://chgis.hudci.org/tgaz/placename/hvd_40897
https://chgis.hudci.org/tgaz/placename/hvd_40888
https://chgis.hudci.org/tgaz/placename/hvd_40926
https://chgis.hudci.org/tgaz/placename/hvd_40913</x:v>
      </x:c>
      <x:c r="X11" s="25" t="str">
        <x:v>只作下一階段候選點的bbox→polygon限制；非法律界線。邊界經0.001°拓撲保留簡化；近界候選建議加0.01° buffer。</x:v>
      </x:c>
    </x:row>
    <x:row r="12" ht="58.5" customHeight="1">
      <x:c r="A12" s="25" t="str">
        <x:v>ADM-006</x:v>
      </x:c>
      <x:c r="B12" s="25" t="str">
        <x:v>地級</x:v>
      </x:c>
      <x:c r="C12" s="25" t="str">
        <x:v>江西省</x:v>
      </x:c>
      <x:c r="D12" s="25" t="str">
        <x:v>撫州市</x:v>
      </x:c>
      <x:c r="E12" s="25"/>
      <x:c r="F12" s="25" t="str">
        <x:v>撫州市</x:v>
      </x:c>
      <x:c r="G12" s="53" t="n">
        <x:v>116.415177</x:v>
      </x:c>
      <x:c r="H12" s="53" t="n">
        <x:v>27.502232</x:v>
      </x:c>
      <x:c r="I12" s="53" t="n">
        <x:v>115.5873148</x:v>
      </x:c>
      <x:c r="J12" s="53" t="n">
        <x:v>26.5019595</x:v>
      </x:c>
      <x:c r="K12" s="53" t="n">
        <x:v>117.3009192</x:v>
      </x:c>
      <x:c r="L12" s="53" t="n">
        <x:v>28.4968354</x:v>
      </x:c>
      <x:c r="M12" s="25" t="str">
        <x:v>Polygon</x:v>
      </x:c>
      <x:c r="N12" s="25" t="n">
        <x:v>1</x:v>
      </x:c>
      <x:c r="O12" s="25" t="n">
        <x:v>1</x:v>
      </x:c>
      <x:c r="P12" s="25" t="n">
        <x:v>1705</x:v>
      </x:c>
      <x:c r="Q12" s="25" t="n">
        <x:v>0.001</x:v>
      </x:c>
      <x:c r="R12" s="25" t="str">
        <x:v>金谿縣；南城縣；新城縣；南豐縣；宜黃縣；臨川縣；崇仁縣；樂安縣</x:v>
      </x:c>
      <x:c r="S12" s="25" t="str">
        <x:v>金谿縣@116.776260,27.910080；南城縣@116.627450,27.559720；新城縣@116.914230,27.296830；南豐縣@116.529930,27.214310；宜黃縣@116.210180,27.546390；臨川縣@116.351340,27.984780；崇仁縣@116.061580,27.755640；樂安縣@115.831780,27.426290</x:v>
      </x:c>
      <x:c r="T12" s="25" t="str">
        <x:v>confirmed（inside 8；outside 0）</x:v>
      </x:c>
      <x:c r="U12" s="25" t="str">
        <x:v>confirmed</x:v>
      </x:c>
      <x:c r="V12" s="25" t="str">
        <x:v>https://www.openstreetmap.org/relation/3182605
https://nominatim.openstreetmap.org/search?q=%E6%8A%9A%E5%B7%9E%E5%B8%82%2C+%E6%B1%9F%E8%A5%BF%E7%9C%81%2C+%E4%B8%AD%E5%9B%BD&amp;format=jsonv2&amp;polygon_geojson=1&amp;polygon_threshold=0.001&amp;addressdetails=1&amp;limit=5&amp;countrycodes=cn&amp;accept-language=zh-CN</x:v>
      </x:c>
      <x:c r="W12" s="25" t="str">
        <x:v>https://chgis.hudci.org/tgaz/placename/hvd_41000
https://chgis.hudci.org/tgaz/placename/hvd_40982
https://chgis.hudci.org/tgaz/placename/hvd_40983
https://chgis.hudci.org/tgaz/placename/hvd_40987
https://chgis.hudci.org/tgaz/placename/hvd_41003
https://chgis.hudci.org/tgaz/placename/hvd_40998
https://chgis.hudci.org/tgaz/placename/hvd_40999
https://chgis.hudci.org/tgaz/placename/hvd_41004</x:v>
      </x:c>
      <x:c r="X12" s="25" t="str">
        <x:v>只作下一階段候選點的bbox→polygon限制；非法律界線。邊界經0.001°拓撲保留簡化；近界候選建議加0.01° buffer。</x:v>
      </x:c>
    </x:row>
    <x:row r="13" ht="58.5" customHeight="1">
      <x:c r="A13" s="25" t="str">
        <x:v>ADM-007</x:v>
      </x:c>
      <x:c r="B13" s="25" t="str">
        <x:v>地級</x:v>
      </x:c>
      <x:c r="C13" s="25" t="str">
        <x:v>江西省</x:v>
      </x:c>
      <x:c r="D13" s="25" t="str">
        <x:v>鷹潭市</x:v>
      </x:c>
      <x:c r="E13" s="25"/>
      <x:c r="F13" s="25" t="str">
        <x:v>鷹潭市</x:v>
      </x:c>
      <x:c r="G13" s="53" t="n">
        <x:v>117.1143221</x:v>
      </x:c>
      <x:c r="H13" s="53" t="n">
        <x:v>28.2378405</x:v>
      </x:c>
      <x:c r="I13" s="53" t="n">
        <x:v>116.6847466</x:v>
      </x:c>
      <x:c r="J13" s="53" t="n">
        <x:v>27.8477851</x:v>
      </x:c>
      <x:c r="K13" s="53" t="n">
        <x:v>117.4675286</x:v>
      </x:c>
      <x:c r="L13" s="53" t="n">
        <x:v>28.6306175</x:v>
      </x:c>
      <x:c r="M13" s="25" t="str">
        <x:v>Polygon</x:v>
      </x:c>
      <x:c r="N13" s="25" t="n">
        <x:v>1</x:v>
      </x:c>
      <x:c r="O13" s="25" t="n">
        <x:v>1</x:v>
      </x:c>
      <x:c r="P13" s="25" t="n">
        <x:v>861</x:v>
      </x:c>
      <x:c r="Q13" s="25" t="n">
        <x:v>0.001</x:v>
      </x:c>
      <x:c r="R13" s="25" t="str">
        <x:v>貴溪縣；安仁縣</x:v>
      </x:c>
      <x:c r="S13" s="25" t="str">
        <x:v>貴溪縣@117.202270,28.287900；安仁縣@116.903260,28.404430</x:v>
      </x:c>
      <x:c r="T13" s="25" t="str">
        <x:v>confirmed（inside 2；outside 0）</x:v>
      </x:c>
      <x:c r="U13" s="25" t="str">
        <x:v>confirmed</x:v>
      </x:c>
      <x:c r="V13" s="25" t="str">
        <x:v>https://www.openstreetmap.org/relation/3245900
https://nominatim.openstreetmap.org/search?q=%E9%B9%B0%E6%BD%AD%E5%B8%82%2C+%E6%B1%9F%E8%A5%BF%E7%9C%81%2C+%E4%B8%AD%E5%9B%BD&amp;format=jsonv2&amp;polygon_geojson=1&amp;polygon_threshold=0.001&amp;addressdetails=1&amp;limit=5&amp;countrycodes=cn&amp;accept-language=zh-CN</x:v>
      </x:c>
      <x:c r="W13" s="25" t="str">
        <x:v>https://chgis.hudci.org/tgaz/placename/hvd_41204
https://chgis.hudci.org/tgaz/placename/hvd_41187</x:v>
      </x:c>
      <x:c r="X13" s="25" t="str">
        <x:v>只作下一階段候選點的bbox→polygon限制；非法律界線。邊界經0.001°拓撲保留簡化；近界候選建議加0.01° buffer。</x:v>
      </x:c>
    </x:row>
    <x:row r="14" ht="58.5" customHeight="1">
      <x:c r="A14" s="25" t="str">
        <x:v>ADM-008</x:v>
      </x:c>
      <x:c r="B14" s="25" t="str">
        <x:v>地級</x:v>
      </x:c>
      <x:c r="C14" s="25" t="str">
        <x:v>浙江省</x:v>
      </x:c>
      <x:c r="D14" s="25" t="str">
        <x:v>衢州市</x:v>
      </x:c>
      <x:c r="E14" s="25"/>
      <x:c r="F14" s="25" t="str">
        <x:v>衢州市</x:v>
      </x:c>
      <x:c r="G14" s="53" t="n">
        <x:v>118.8540924</x:v>
      </x:c>
      <x:c r="H14" s="53" t="n">
        <x:v>28.973887</x:v>
      </x:c>
      <x:c r="I14" s="53" t="n">
        <x:v>118.022407</x:v>
      </x:c>
      <x:c r="J14" s="53" t="n">
        <x:v>28.2414132</x:v>
      </x:c>
      <x:c r="K14" s="53" t="n">
        <x:v>119.3419587</x:v>
      </x:c>
      <x:c r="L14" s="53" t="n">
        <x:v>29.5003523</x:v>
      </x:c>
      <x:c r="M14" s="25" t="str">
        <x:v>Polygon</x:v>
      </x:c>
      <x:c r="N14" s="25" t="n">
        <x:v>1</x:v>
      </x:c>
      <x:c r="O14" s="25" t="n">
        <x:v>2</x:v>
      </x:c>
      <x:c r="P14" s="25" t="n">
        <x:v>1601</x:v>
      </x:c>
      <x:c r="Q14" s="25" t="n">
        <x:v>0.001</x:v>
      </x:c>
      <x:c r="R14" s="25" t="str">
        <x:v>常山縣</x:v>
      </x:c>
      <x:c r="S14" s="25" t="str">
        <x:v>常山縣@118.502660,28.903730</x:v>
      </x:c>
      <x:c r="T14" s="25" t="str">
        <x:v>confirmed（inside 1；outside 0）</x:v>
      </x:c>
      <x:c r="U14" s="25" t="str">
        <x:v>confirmed</x:v>
      </x:c>
      <x:c r="V14" s="25" t="str">
        <x:v>https://www.openstreetmap.org/relation/3278467
https://nominatim.openstreetmap.org/search?q=%E8%A1%A2%E5%B7%9E%E5%B8%82%2C+%E6%B5%99%E6%B1%9F%E7%9C%81%2C+%E4%B8%AD%E5%9B%BD&amp;format=jsonv2&amp;polygon_geojson=1&amp;polygon_threshold=0.001&amp;addressdetails=1&amp;limit=5&amp;countrycodes=cn&amp;accept-language=zh-CN</x:v>
      </x:c>
      <x:c r="W14" s="25" t="str">
        <x:v>https://chgis.hudci.org/tgaz/placename/hvd_40629</x:v>
      </x:c>
      <x:c r="X14" s="25" t="str">
        <x:v>只作下一階段候選點的bbox→polygon限制；非法律界線。邊界經0.001°拓撲保留簡化；近界候選建議加0.01° buffer。</x:v>
      </x:c>
    </x:row>
    <x:row r="15" ht="58.5" customHeight="1">
      <x:c r="A15" s="25" t="str">
        <x:v>ADM-009</x:v>
      </x:c>
      <x:c r="B15" s="25" t="str">
        <x:v>地級</x:v>
      </x:c>
      <x:c r="C15" s="25" t="str">
        <x:v>湖南省</x:v>
      </x:c>
      <x:c r="D15" s="25" t="str">
        <x:v>株洲市</x:v>
      </x:c>
      <x:c r="E15" s="25"/>
      <x:c r="F15" s="25" t="str">
        <x:v>株洲市</x:v>
      </x:c>
      <x:c r="G15" s="53" t="n">
        <x:v>113.55087</x:v>
      </x:c>
      <x:c r="H15" s="53" t="n">
        <x:v>27.049812</x:v>
      </x:c>
      <x:c r="I15" s="53" t="n">
        <x:v>112.9639588</x:v>
      </x:c>
      <x:c r="J15" s="53" t="n">
        <x:v>26.043053</x:v>
      </x:c>
      <x:c r="K15" s="53" t="n">
        <x:v>114.1047001</x:v>
      </x:c>
      <x:c r="L15" s="53" t="n">
        <x:v>28.027612</x:v>
      </x:c>
      <x:c r="M15" s="25" t="str">
        <x:v>Polygon</x:v>
      </x:c>
      <x:c r="N15" s="25" t="n">
        <x:v>1</x:v>
      </x:c>
      <x:c r="O15" s="25" t="n">
        <x:v>1</x:v>
      </x:c>
      <x:c r="P15" s="25" t="n">
        <x:v>1257</x:v>
      </x:c>
      <x:c r="Q15" s="25" t="n">
        <x:v>0.001</x:v>
      </x:c>
      <x:c r="R15" s="25" t="str">
        <x:v>茶陵州</x:v>
      </x:c>
      <x:c r="S15" s="25" t="str">
        <x:v>茶陵州@113.552170,26.801980</x:v>
      </x:c>
      <x:c r="T15" s="25" t="str">
        <x:v>confirmed（inside 1；outside 0）</x:v>
      </x:c>
      <x:c r="U15" s="25" t="str">
        <x:v>confirmed</x:v>
      </x:c>
      <x:c r="V15" s="25" t="str">
        <x:v>https://www.openstreetmap.org/relation/2972720
https://nominatim.openstreetmap.org/search?q=%E6%A0%AA%E6%B4%B2%E5%B8%82%2C+%E6%B9%96%E5%8D%97%E7%9C%81%2C+%E4%B8%AD%E5%9B%BD&amp;format=jsonv2&amp;polygon_geojson=1&amp;polygon_threshold=0.001&amp;addressdetails=1&amp;limit=5&amp;countrycodes=cn&amp;accept-language=zh-CN</x:v>
      </x:c>
      <x:c r="W15" s="25" t="str">
        <x:v>https://chgis.hudci.org/tgaz/placename/hvd_41774</x:v>
      </x:c>
      <x:c r="X15" s="25" t="str">
        <x:v>只作下一階段候選點的bbox→polygon限制；非法律界線。邊界經0.001°拓撲保留簡化；近界候選建議加0.01° buffer。</x:v>
      </x:c>
    </x:row>
    <x:row r="16" ht="58.5" customHeight="1">
      <x:c r="A16" s="25" t="str">
        <x:v>ADM-010</x:v>
      </x:c>
      <x:c r="B16" s="25" t="str">
        <x:v>縣級</x:v>
      </x:c>
      <x:c r="C16" s="25" t="str">
        <x:v>江西省</x:v>
      </x:c>
      <x:c r="D16" s="25" t="str">
        <x:v>上饒市</x:v>
      </x:c>
      <x:c r="E16" s="25" t="str">
        <x:v>信州區</x:v>
      </x:c>
      <x:c r="F16" s="25" t="str">
        <x:v>信州區</x:v>
      </x:c>
      <x:c r="G16" s="53" t="n">
        <x:v>118.0654328</x:v>
      </x:c>
      <x:c r="H16" s="53" t="n">
        <x:v>28.4884584</x:v>
      </x:c>
      <x:c r="I16" s="53" t="n">
        <x:v>117.9192423</x:v>
      </x:c>
      <x:c r="J16" s="53" t="n">
        <x:v>28.375151</x:v>
      </x:c>
      <x:c r="K16" s="53" t="n">
        <x:v>118.1559098</x:v>
      </x:c>
      <x:c r="L16" s="53" t="n">
        <x:v>28.6408591</x:v>
      </x:c>
      <x:c r="M16" s="25" t="str">
        <x:v>Polygon</x:v>
      </x:c>
      <x:c r="N16" s="25" t="n">
        <x:v>1</x:v>
      </x:c>
      <x:c r="O16" s="25" t="n">
        <x:v>1</x:v>
      </x:c>
      <x:c r="P16" s="25" t="n">
        <x:v>460</x:v>
      </x:c>
      <x:c r="Q16" s="25" t="n">
        <x:v>0.001</x:v>
      </x:c>
      <x:c r="R16" s="25" t="str">
        <x:v>上饒縣</x:v>
      </x:c>
      <x:c r="S16" s="25" t="str">
        <x:v>上饒縣@117.964890,28.450690</x:v>
      </x:c>
      <x:c r="T16" s="25" t="str">
        <x:v>confirmed（inside 1；outside 0）</x:v>
      </x:c>
      <x:c r="U16" s="25" t="str">
        <x:v>confirmed</x:v>
      </x:c>
      <x:c r="V16" s="25" t="str">
        <x:v>https://www.openstreetmap.org/relation/3046785
https://nominatim.openstreetmap.org/search?q=%E4%BF%A1%E5%B7%9E%E5%8C%BA%2C+%E4%B8%8A%E9%A5%B6%E5%B8%82%2C+%E6%B1%9F%E8%A5%BF%E7%9C%81%2C+%E4%B8%AD%E5%9B%BD&amp;format=jsonv2&amp;polygon_geojson=1&amp;polygon_threshold=0.001&amp;addressdetails=1&amp;limit=5&amp;countrycodes=cn&amp;accept-language=zh-CN</x:v>
      </x:c>
      <x:c r="W16" s="25" t="str">
        <x:v>https://chgis.hudci.org/tgaz/placename/hvd_41201</x:v>
      </x:c>
      <x:c r="X16" s="25" t="str">
        <x:v>只作下一階段候選點的bbox→polygon限制；非法律界線。邊界經0.001°拓撲保留簡化；近界候選建議加0.01° buffer。</x:v>
      </x:c>
    </x:row>
    <x:row r="17" ht="58.5" customHeight="1">
      <x:c r="A17" s="25" t="str">
        <x:v>ADM-011</x:v>
      </x:c>
      <x:c r="B17" s="25" t="str">
        <x:v>縣級</x:v>
      </x:c>
      <x:c r="C17" s="25" t="str">
        <x:v>江西省</x:v>
      </x:c>
      <x:c r="D17" s="25" t="str">
        <x:v>上饒市</x:v>
      </x:c>
      <x:c r="E17" s="25" t="str">
        <x:v>廣豐區</x:v>
      </x:c>
      <x:c r="F17" s="25" t="str">
        <x:v>廣豐區</x:v>
      </x:c>
      <x:c r="G17" s="53" t="n">
        <x:v>118.2959839</x:v>
      </x:c>
      <x:c r="H17" s="53" t="n">
        <x:v>28.3853411</x:v>
      </x:c>
      <x:c r="I17" s="53" t="n">
        <x:v>118.0243528</x:v>
      </x:c>
      <x:c r="J17" s="53" t="n">
        <x:v>28.0606858</x:v>
      </x:c>
      <x:c r="K17" s="53" t="n">
        <x:v>118.482163</x:v>
      </x:c>
      <x:c r="L17" s="53" t="n">
        <x:v>28.6280112</x:v>
      </x:c>
      <x:c r="M17" s="25" t="str">
        <x:v>Polygon</x:v>
      </x:c>
      <x:c r="N17" s="25" t="n">
        <x:v>1</x:v>
      </x:c>
      <x:c r="O17" s="25" t="n">
        <x:v>1</x:v>
      </x:c>
      <x:c r="P17" s="25" t="n">
        <x:v>727</x:v>
      </x:c>
      <x:c r="Q17" s="25" t="n">
        <x:v>0.001</x:v>
      </x:c>
      <x:c r="R17" s="25" t="str">
        <x:v>永豐縣</x:v>
      </x:c>
      <x:c r="S17" s="25" t="str">
        <x:v>永豐縣@118.191360,28.438470</x:v>
      </x:c>
      <x:c r="T17" s="25" t="str">
        <x:v>confirmed（inside 1；outside 0）</x:v>
      </x:c>
      <x:c r="U17" s="25" t="str">
        <x:v>confirmed</x:v>
      </x:c>
      <x:c r="V17" s="25" t="str">
        <x:v>https://www.openstreetmap.org/relation/3046779
https://nominatim.openstreetmap.org/search?q=%E5%B9%BF%E4%B8%B0%E5%8C%BA%2C+%E4%B8%8A%E9%A5%B6%E5%B8%82%2C+%E6%B1%9F%E8%A5%BF%E7%9C%81%2C+%E4%B8%AD%E5%9B%BD&amp;format=jsonv2&amp;polygon_geojson=1&amp;polygon_threshold=0.001&amp;addressdetails=1&amp;limit=5&amp;countrycodes=cn&amp;accept-language=zh-CN</x:v>
      </x:c>
      <x:c r="W17" s="25" t="str">
        <x:v>https://chgis.hudci.org/tgaz/placename/hvd_41209</x:v>
      </x:c>
      <x:c r="X17" s="25" t="str">
        <x:v>只作下一階段候選點的bbox→polygon限制；非法律界線。邊界經0.001°拓撲保留簡化；近界候選建議加0.01° buffer。</x:v>
      </x:c>
    </x:row>
    <x:row r="18" ht="58.5" customHeight="1">
      <x:c r="A18" s="25" t="str">
        <x:v>ADM-012</x:v>
      </x:c>
      <x:c r="B18" s="25" t="str">
        <x:v>縣級</x:v>
      </x:c>
      <x:c r="C18" s="25" t="str">
        <x:v>江西省</x:v>
      </x:c>
      <x:c r="D18" s="25" t="str">
        <x:v>上饒市</x:v>
      </x:c>
      <x:c r="E18" s="25" t="str">
        <x:v>弋陽縣</x:v>
      </x:c>
      <x:c r="F18" s="25" t="str">
        <x:v>弋陽縣</x:v>
      </x:c>
      <x:c r="G18" s="53" t="n">
        <x:v>117.3820682</x:v>
      </x:c>
      <x:c r="H18" s="53" t="n">
        <x:v>28.469272</x:v>
      </x:c>
      <x:c r="I18" s="53" t="n">
        <x:v>117.2167882</x:v>
      </x:c>
      <x:c r="J18" s="53" t="n">
        <x:v>28.0652769</x:v>
      </x:c>
      <x:c r="K18" s="53" t="n">
        <x:v>117.6233837</x:v>
      </x:c>
      <x:c r="L18" s="53" t="n">
        <x:v>28.7877086</x:v>
      </x:c>
      <x:c r="M18" s="25" t="str">
        <x:v>Polygon</x:v>
      </x:c>
      <x:c r="N18" s="25" t="n">
        <x:v>1</x:v>
      </x:c>
      <x:c r="O18" s="25" t="n">
        <x:v>1</x:v>
      </x:c>
      <x:c r="P18" s="25" t="n">
        <x:v>658</x:v>
      </x:c>
      <x:c r="Q18" s="25" t="n">
        <x:v>0.001</x:v>
      </x:c>
      <x:c r="R18" s="25" t="str">
        <x:v>弋陽縣</x:v>
      </x:c>
      <x:c r="S18" s="25" t="str">
        <x:v>弋陽縣@117.421310,28.401880</x:v>
      </x:c>
      <x:c r="T18" s="25" t="str">
        <x:v>confirmed（inside 1；outside 0）</x:v>
      </x:c>
      <x:c r="U18" s="25" t="str">
        <x:v>confirmed</x:v>
      </x:c>
      <x:c r="V18" s="25" t="str">
        <x:v>https://www.openstreetmap.org/relation/3046787
https://nominatim.openstreetmap.org/search?q=%E5%BC%8B%E9%98%B3%E5%8E%BF%2C+%E4%B8%8A%E9%A5%B6%E5%B8%82%2C+%E6%B1%9F%E8%A5%BF%E7%9C%81%2C+%E4%B8%AD%E5%9B%BD&amp;format=jsonv2&amp;polygon_geojson=1&amp;polygon_threshold=0.001&amp;addressdetails=1&amp;limit=5&amp;countrycodes=cn&amp;accept-language=zh-CN</x:v>
      </x:c>
      <x:c r="W18" s="25" t="str">
        <x:v>https://chgis.hudci.org/tgaz/placename/hvd_41203</x:v>
      </x:c>
      <x:c r="X18" s="25" t="str">
        <x:v>只作下一階段候選點的bbox→polygon限制；非法律界線。邊界經0.001°拓撲保留簡化；近界候選建議加0.01° buffer。</x:v>
      </x:c>
    </x:row>
    <x:row r="19" ht="58.5" customHeight="1">
      <x:c r="A19" s="25" t="str">
        <x:v>ADM-013</x:v>
      </x:c>
      <x:c r="B19" s="25" t="str">
        <x:v>縣級</x:v>
      </x:c>
      <x:c r="C19" s="25" t="str">
        <x:v>江西省</x:v>
      </x:c>
      <x:c r="D19" s="25" t="str">
        <x:v>上饒市</x:v>
      </x:c>
      <x:c r="E19" s="25" t="str">
        <x:v>橫峰縣</x:v>
      </x:c>
      <x:c r="F19" s="25" t="str">
        <x:v>橫峰縣</x:v>
      </x:c>
      <x:c r="G19" s="53" t="n">
        <x:v>117.6469502</x:v>
      </x:c>
      <x:c r="H19" s="53" t="n">
        <x:v>28.5148831</x:v>
      </x:c>
      <x:c r="I19" s="53" t="n">
        <x:v>117.4872344</x:v>
      </x:c>
      <x:c r="J19" s="53" t="n">
        <x:v>28.2888109</x:v>
      </x:c>
      <x:c r="K19" s="53" t="n">
        <x:v>117.7761555</x:v>
      </x:c>
      <x:c r="L19" s="53" t="n">
        <x:v>28.7442168</x:v>
      </x:c>
      <x:c r="M19" s="25" t="str">
        <x:v>Polygon</x:v>
      </x:c>
      <x:c r="N19" s="25" t="n">
        <x:v>1</x:v>
      </x:c>
      <x:c r="O19" s="25" t="n">
        <x:v>1</x:v>
      </x:c>
      <x:c r="P19" s="25" t="n">
        <x:v>430</x:v>
      </x:c>
      <x:c r="Q19" s="25" t="n">
        <x:v>0.001</x:v>
      </x:c>
      <x:c r="R19" s="25" t="str">
        <x:v>興安縣</x:v>
      </x:c>
      <x:c r="S19" s="25" t="str">
        <x:v>興安縣@117.603050,28.423760</x:v>
      </x:c>
      <x:c r="T19" s="25" t="str">
        <x:v>confirmed（inside 1；outside 0）</x:v>
      </x:c>
      <x:c r="U19" s="25" t="str">
        <x:v>confirmed</x:v>
      </x:c>
      <x:c r="V19" s="25" t="str">
        <x:v>https://www.openstreetmap.org/relation/3046780
https://nominatim.openstreetmap.org/search?q=%E6%A8%AA%E5%B3%B0%E5%8E%BF%2C+%E4%B8%8A%E9%A5%B6%E5%B8%82%2C+%E6%B1%9F%E8%A5%BF%E7%9C%81%2C+%E4%B8%AD%E5%9B%BD&amp;format=jsonv2&amp;polygon_geojson=1&amp;polygon_threshold=0.001&amp;addressdetails=1&amp;limit=5&amp;countrycodes=cn&amp;accept-language=zh-CN</x:v>
      </x:c>
      <x:c r="W19" s="25" t="str">
        <x:v>https://chgis.hudci.org/tgaz/placename/hvd_41213</x:v>
      </x:c>
      <x:c r="X19" s="25" t="str">
        <x:v>只作下一階段候選點的bbox→polygon限制；非法律界線。邊界經0.001°拓撲保留簡化；近界候選建議加0.01° buffer。</x:v>
      </x:c>
    </x:row>
    <x:row r="20" ht="58.5" customHeight="1">
      <x:c r="A20" s="25" t="str">
        <x:v>ADM-014</x:v>
      </x:c>
      <x:c r="B20" s="25" t="str">
        <x:v>縣級</x:v>
      </x:c>
      <x:c r="C20" s="25" t="str">
        <x:v>江西省</x:v>
      </x:c>
      <x:c r="D20" s="25" t="str">
        <x:v>上饒市</x:v>
      </x:c>
      <x:c r="E20" s="25" t="str">
        <x:v>玉山縣</x:v>
      </x:c>
      <x:c r="F20" s="25" t="str">
        <x:v>玉山縣</x:v>
      </x:c>
      <x:c r="G20" s="53" t="n">
        <x:v>118.1227656</x:v>
      </x:c>
      <x:c r="H20" s="53" t="n">
        <x:v>28.7738118</x:v>
      </x:c>
      <x:c r="I20" s="53" t="n">
        <x:v>117.8552046</x:v>
      </x:c>
      <x:c r="J20" s="53" t="n">
        <x:v>28.496646</x:v>
      </x:c>
      <x:c r="K20" s="53" t="n">
        <x:v>118.4287977</x:v>
      </x:c>
      <x:c r="L20" s="53" t="n">
        <x:v>29.0188291</x:v>
      </x:c>
      <x:c r="M20" s="25" t="str">
        <x:v>Polygon</x:v>
      </x:c>
      <x:c r="N20" s="25" t="n">
        <x:v>1</x:v>
      </x:c>
      <x:c r="O20" s="25" t="n">
        <x:v>1</x:v>
      </x:c>
      <x:c r="P20" s="25" t="n">
        <x:v>850</x:v>
      </x:c>
      <x:c r="Q20" s="25" t="n">
        <x:v>0.001</x:v>
      </x:c>
      <x:c r="R20" s="25" t="str">
        <x:v>玉山縣</x:v>
      </x:c>
      <x:c r="S20" s="25" t="str">
        <x:v>玉山縣@118.240180,28.679600</x:v>
      </x:c>
      <x:c r="T20" s="25" t="str">
        <x:v>confirmed（inside 1；outside 0）</x:v>
      </x:c>
      <x:c r="U20" s="25" t="str">
        <x:v>confirmed</x:v>
      </x:c>
      <x:c r="V20" s="25" t="str">
        <x:v>https://www.openstreetmap.org/relation/3046789
https://nominatim.openstreetmap.org/search?q=%E7%8E%89%E5%B1%B1%E5%8E%BF%2C+%E4%B8%8A%E9%A5%B6%E5%B8%82%2C+%E6%B1%9F%E8%A5%BF%E7%9C%81%2C+%E4%B8%AD%E5%9B%BD&amp;format=jsonv2&amp;polygon_geojson=1&amp;polygon_threshold=0.001&amp;addressdetails=1&amp;limit=5&amp;countrycodes=cn&amp;accept-language=zh-CN</x:v>
      </x:c>
      <x:c r="W20" s="25" t="str">
        <x:v>https://chgis.hudci.org/tgaz/placename/hvd_41214</x:v>
      </x:c>
      <x:c r="X20" s="25" t="str">
        <x:v>只作下一階段候選點的bbox→polygon限制；非法律界線。邊界經0.001°拓撲保留簡化；近界候選建議加0.01° buffer。</x:v>
      </x:c>
    </x:row>
    <x:row r="21" ht="58.5" customHeight="1">
      <x:c r="A21" s="25" t="str">
        <x:v>ADM-015</x:v>
      </x:c>
      <x:c r="B21" s="25" t="str">
        <x:v>縣級</x:v>
      </x:c>
      <x:c r="C21" s="25" t="str">
        <x:v>江西省</x:v>
      </x:c>
      <x:c r="D21" s="25" t="str">
        <x:v>上饒市</x:v>
      </x:c>
      <x:c r="E21" s="25" t="str">
        <x:v>鉛山縣</x:v>
      </x:c>
      <x:c r="F21" s="25" t="str">
        <x:v>鉛山縣</x:v>
      </x:c>
      <x:c r="G21" s="53" t="n">
        <x:v>117.7212801</x:v>
      </x:c>
      <x:c r="H21" s="53" t="n">
        <x:v>28.1146544</x:v>
      </x:c>
      <x:c r="I21" s="53" t="n">
        <x:v>117.4264822</x:v>
      </x:c>
      <x:c r="J21" s="53" t="n">
        <x:v>27.8035885</x:v>
      </x:c>
      <x:c r="K21" s="53" t="n">
        <x:v>117.992633</x:v>
      </x:c>
      <x:c r="L21" s="53" t="n">
        <x:v>28.4047194</x:v>
      </x:c>
      <x:c r="M21" s="25" t="str">
        <x:v>Polygon</x:v>
      </x:c>
      <x:c r="N21" s="25" t="n">
        <x:v>1</x:v>
      </x:c>
      <x:c r="O21" s="25" t="n">
        <x:v>1</x:v>
      </x:c>
      <x:c r="P21" s="25" t="n">
        <x:v>557</x:v>
      </x:c>
      <x:c r="Q21" s="25" t="n">
        <x:v>0.001</x:v>
      </x:c>
      <x:c r="R21" s="25" t="str">
        <x:v>鉛山縣</x:v>
      </x:c>
      <x:c r="S21" s="25" t="str">
        <x:v>鉛山縣@117.776590,28.208450</x:v>
      </x:c>
      <x:c r="T21" s="25" t="str">
        <x:v>confirmed（inside 1；outside 0）</x:v>
      </x:c>
      <x:c r="U21" s="25" t="str">
        <x:v>confirmed</x:v>
      </x:c>
      <x:c r="V21" s="25" t="str">
        <x:v>https://www.openstreetmap.org/relation/3046786
https://nominatim.openstreetmap.org/search?q=%E9%93%85%E5%B1%B1%E5%8E%BF%2C+%E4%B8%8A%E9%A5%B6%E5%B8%82%2C+%E6%B1%9F%E8%A5%BF%E7%9C%81%2C+%E4%B8%AD%E5%9B%BD&amp;format=jsonv2&amp;polygon_geojson=1&amp;polygon_threshold=0.001&amp;addressdetails=1&amp;limit=5&amp;countrycodes=cn&amp;accept-language=zh-CN</x:v>
      </x:c>
      <x:c r="W21" s="25" t="str">
        <x:v>https://chgis.hudci.org/tgaz/placename/hvd_41207</x:v>
      </x:c>
      <x:c r="X21" s="25" t="str">
        <x:v>只作下一階段候選點的bbox→polygon限制；非法律界線。邊界經0.001°拓撲保留簡化；近界候選建議加0.01° buffer。</x:v>
      </x:c>
    </x:row>
    <x:row r="22" ht="58.5" customHeight="1">
      <x:c r="A22" s="25" t="str">
        <x:v>ADM-016</x:v>
      </x:c>
      <x:c r="B22" s="25" t="str">
        <x:v>縣級</x:v>
      </x:c>
      <x:c r="C22" s="25" t="str">
        <x:v>江西省</x:v>
      </x:c>
      <x:c r="D22" s="25" t="str">
        <x:v>吉安市</x:v>
      </x:c>
      <x:c r="E22" s="25" t="str">
        <x:v>吉安縣</x:v>
      </x:c>
      <x:c r="F22" s="25" t="str">
        <x:v>吉安縣</x:v>
      </x:c>
      <x:c r="G22" s="53" t="n">
        <x:v>114.7485835</x:v>
      </x:c>
      <x:c r="H22" s="53" t="n">
        <x:v>27.1691176</x:v>
      </x:c>
      <x:c r="I22" s="53" t="n">
        <x:v>114.4133786</x:v>
      </x:c>
      <x:c r="J22" s="53" t="n">
        <x:v>26.8223444</x:v>
      </x:c>
      <x:c r="K22" s="53" t="n">
        <x:v>115.0577017</x:v>
      </x:c>
      <x:c r="L22" s="53" t="n">
        <x:v>27.6321195</x:v>
      </x:c>
      <x:c r="M22" s="25" t="str">
        <x:v>Polygon</x:v>
      </x:c>
      <x:c r="N22" s="25" t="n">
        <x:v>1</x:v>
      </x:c>
      <x:c r="O22" s="25" t="n">
        <x:v>1</x:v>
      </x:c>
      <x:c r="P22" s="25" t="n">
        <x:v>795</x:v>
      </x:c>
      <x:c r="Q22" s="25" t="n">
        <x:v>0.001</x:v>
      </x:c>
      <x:c r="R22" s="25" t="str">
        <x:v>廬陵縣</x:v>
      </x:c>
      <x:c r="S22" s="25" t="str">
        <x:v>廬陵縣@114.971280,27.103240</x:v>
      </x:c>
      <x:c r="T22" s="25" t="str">
        <x:v>review（inside 0；outside 1）</x:v>
      </x:c>
      <x:c r="U22" s="25" t="str">
        <x:v>confirmed</x:v>
      </x:c>
      <x:c r="V22" s="25" t="str">
        <x:v>https://www.openstreetmap.org/relation/2950509
https://nominatim.openstreetmap.org/search?q=%E5%90%89%E5%AE%89%E5%8E%BF%2C+%E5%90%89%E5%AE%89%E5%B8%82%2C+%E6%B1%9F%E8%A5%BF%E7%9C%81%2C+%E4%B8%AD%E5%9B%BD&amp;format=jsonv2&amp;polygon_geojson=1&amp;polygon_threshold=0.001&amp;addressdetails=1&amp;limit=5&amp;countrycodes=cn&amp;accept-language=zh-CN</x:v>
      </x:c>
      <x:c r="W22" s="25" t="str">
        <x:v>https://chgis.hudci.org/tgaz/placename/hvd_40888</x:v>
      </x:c>
      <x:c r="X22" s="25" t="str">
        <x:v>只作下一階段候選點的bbox→polygon限制；非法律界線。CHGIS治所點不在此現代polygon內，反映古今轄境／治所差異，須review；近界候選建議加0.01° buffer。</x:v>
      </x:c>
    </x:row>
    <x:row r="23" ht="58.5" customHeight="1">
      <x:c r="A23" s="25" t="str">
        <x:v>ADM-017</x:v>
      </x:c>
      <x:c r="B23" s="25" t="str">
        <x:v>縣級</x:v>
      </x:c>
      <x:c r="C23" s="25" t="str">
        <x:v>江西省</x:v>
      </x:c>
      <x:c r="D23" s="25" t="str">
        <x:v>吉安市</x:v>
      </x:c>
      <x:c r="E23" s="25" t="str">
        <x:v>吉州區</x:v>
      </x:c>
      <x:c r="F23" s="25" t="str">
        <x:v>吉州區</x:v>
      </x:c>
      <x:c r="G23" s="53" t="n">
        <x:v>114.95274</x:v>
      </x:c>
      <x:c r="H23" s="53" t="n">
        <x:v>27.1563101</x:v>
      </x:c>
      <x:c r="I23" s="53" t="n">
        <x:v>114.7945048</x:v>
      </x:c>
      <x:c r="J23" s="53" t="n">
        <x:v>27.0361737</x:v>
      </x:c>
      <x:c r="K23" s="53" t="n">
        <x:v>115.1103955</x:v>
      </x:c>
      <x:c r="L23" s="53" t="n">
        <x:v>27.2946426</x:v>
      </x:c>
      <x:c r="M23" s="25" t="str">
        <x:v>Polygon</x:v>
      </x:c>
      <x:c r="N23" s="25" t="n">
        <x:v>1</x:v>
      </x:c>
      <x:c r="O23" s="25" t="n">
        <x:v>1</x:v>
      </x:c>
      <x:c r="P23" s="25" t="n">
        <x:v>204</x:v>
      </x:c>
      <x:c r="Q23" s="25" t="n">
        <x:v>0.001</x:v>
      </x:c>
      <x:c r="R23" s="25" t="str">
        <x:v>廬陵縣</x:v>
      </x:c>
      <x:c r="S23" s="25" t="str">
        <x:v>廬陵縣@114.971280,27.103240</x:v>
      </x:c>
      <x:c r="T23" s="25" t="str">
        <x:v>confirmed（inside 1；outside 0）</x:v>
      </x:c>
      <x:c r="U23" s="25" t="str">
        <x:v>confirmed</x:v>
      </x:c>
      <x:c r="V23" s="25" t="str">
        <x:v>https://www.openstreetmap.org/relation/2950511
https://nominatim.openstreetmap.org/search?q=%E5%90%89%E5%B7%9E%E5%8C%BA%2C+%E5%90%89%E5%AE%89%E5%B8%82%2C+%E6%B1%9F%E8%A5%BF%E7%9C%81%2C+%E4%B8%AD%E5%9B%BD&amp;format=jsonv2&amp;polygon_geojson=1&amp;polygon_threshold=0.001&amp;addressdetails=1&amp;limit=5&amp;countrycodes=cn&amp;accept-language=zh-CN</x:v>
      </x:c>
      <x:c r="W23" s="25" t="str">
        <x:v>https://chgis.hudci.org/tgaz/placename/hvd_40888</x:v>
      </x:c>
      <x:c r="X23" s="25" t="str">
        <x:v>只作下一階段候選點的bbox→polygon限制；非法律界線。邊界經0.001°拓撲保留簡化；近界候選建議加0.01° buffer。</x:v>
      </x:c>
    </x:row>
    <x:row r="24" ht="58.5" customHeight="1">
      <x:c r="A24" s="25" t="str">
        <x:v>ADM-018</x:v>
      </x:c>
      <x:c r="B24" s="25" t="str">
        <x:v>縣級</x:v>
      </x:c>
      <x:c r="C24" s="25" t="str">
        <x:v>江西省</x:v>
      </x:c>
      <x:c r="D24" s="25" t="str">
        <x:v>吉安市</x:v>
      </x:c>
      <x:c r="E24" s="25" t="str">
        <x:v>吉水縣</x:v>
      </x:c>
      <x:c r="F24" s="25" t="str">
        <x:v>吉水縣</x:v>
      </x:c>
      <x:c r="G24" s="53" t="n">
        <x:v>115.2115188</x:v>
      </x:c>
      <x:c r="H24" s="53" t="n">
        <x:v>27.2199462</x:v>
      </x:c>
      <x:c r="I24" s="53" t="n">
        <x:v>114.8634982</x:v>
      </x:c>
      <x:c r="J24" s="53" t="n">
        <x:v>26.8313466</x:v>
      </x:c>
      <x:c r="K24" s="53" t="n">
        <x:v>115.6249275</x:v>
      </x:c>
      <x:c r="L24" s="53" t="n">
        <x:v>27.567216</x:v>
      </x:c>
      <x:c r="M24" s="25" t="str">
        <x:v>Polygon</x:v>
      </x:c>
      <x:c r="N24" s="25" t="n">
        <x:v>1</x:v>
      </x:c>
      <x:c r="O24" s="25" t="n">
        <x:v>1</x:v>
      </x:c>
      <x:c r="P24" s="25" t="n">
        <x:v>928</x:v>
      </x:c>
      <x:c r="Q24" s="25" t="n">
        <x:v>0.001</x:v>
      </x:c>
      <x:c r="R24" s="25" t="str">
        <x:v>吉水縣</x:v>
      </x:c>
      <x:c r="S24" s="25" t="str">
        <x:v>吉水縣@115.132250,27.214370</x:v>
      </x:c>
      <x:c r="T24" s="25" t="str">
        <x:v>confirmed（inside 1；outside 0）</x:v>
      </x:c>
      <x:c r="U24" s="25" t="str">
        <x:v>confirmed</x:v>
      </x:c>
      <x:c r="V24" s="25" t="str">
        <x:v>https://www.openstreetmap.org/relation/2949890
https://nominatim.openstreetmap.org/search?q=%E5%90%89%E6%B0%B4%E5%8E%BF%2C+%E5%90%89%E5%AE%89%E5%B8%82%2C+%E6%B1%9F%E8%A5%BF%E7%9C%81%2C+%E4%B8%AD%E5%9B%BD&amp;format=jsonv2&amp;polygon_geojson=1&amp;polygon_threshold=0.001&amp;addressdetails=1&amp;limit=5&amp;countrycodes=cn&amp;accept-language=zh-CN</x:v>
      </x:c>
      <x:c r="W24" s="25" t="str">
        <x:v>https://chgis.hudci.org/tgaz/placename/hvd_40897</x:v>
      </x:c>
      <x:c r="X24" s="25" t="str">
        <x:v>只作下一階段候選點的bbox→polygon限制；非法律界線。邊界經0.001°拓撲保留簡化；近界候選建議加0.01° buffer。</x:v>
      </x:c>
    </x:row>
    <x:row r="25" ht="58.5" customHeight="1">
      <x:c r="A25" s="25" t="str">
        <x:v>ADM-019</x:v>
      </x:c>
      <x:c r="B25" s="25" t="str">
        <x:v>縣級</x:v>
      </x:c>
      <x:c r="C25" s="25" t="str">
        <x:v>江西省</x:v>
      </x:c>
      <x:c r="D25" s="25" t="str">
        <x:v>吉安市</x:v>
      </x:c>
      <x:c r="E25" s="25" t="str">
        <x:v>安福縣</x:v>
      </x:c>
      <x:c r="F25" s="25" t="str">
        <x:v>安福縣</x:v>
      </x:c>
      <x:c r="G25" s="53" t="n">
        <x:v>114.4636246</x:v>
      </x:c>
      <x:c r="H25" s="53" t="n">
        <x:v>27.3422835</x:v>
      </x:c>
      <x:c r="I25" s="53" t="n">
        <x:v>114.015751</x:v>
      </x:c>
      <x:c r="J25" s="53" t="n">
        <x:v>27.0703047</x:v>
      </x:c>
      <x:c r="K25" s="53" t="n">
        <x:v>114.7949854</x:v>
      </x:c>
      <x:c r="L25" s="53" t="n">
        <x:v>27.6114648</x:v>
      </x:c>
      <x:c r="M25" s="25" t="str">
        <x:v>Polygon</x:v>
      </x:c>
      <x:c r="N25" s="25" t="n">
        <x:v>1</x:v>
      </x:c>
      <x:c r="O25" s="25" t="n">
        <x:v>1</x:v>
      </x:c>
      <x:c r="P25" s="25" t="n">
        <x:v>538</x:v>
      </x:c>
      <x:c r="Q25" s="25" t="n">
        <x:v>0.001</x:v>
      </x:c>
      <x:c r="R25" s="25" t="str">
        <x:v>安福縣</x:v>
      </x:c>
      <x:c r="S25" s="25" t="str">
        <x:v>安福縣@114.608450,27.382460</x:v>
      </x:c>
      <x:c r="T25" s="25" t="str">
        <x:v>confirmed（inside 1；outside 0）</x:v>
      </x:c>
      <x:c r="U25" s="25" t="str">
        <x:v>confirmed</x:v>
      </x:c>
      <x:c r="V25" s="25" t="str">
        <x:v>https://www.openstreetmap.org/relation/2950508
https://nominatim.openstreetmap.org/search?q=%E5%AE%89%E7%A6%8F%E5%8E%BF%2C+%E5%90%89%E5%AE%89%E5%B8%82%2C+%E6%B1%9F%E8%A5%BF%E7%9C%81%2C+%E4%B8%AD%E5%9B%BD&amp;format=jsonv2&amp;polygon_geojson=1&amp;polygon_threshold=0.001&amp;addressdetails=1&amp;limit=5&amp;countrycodes=cn&amp;accept-language=zh-CN</x:v>
      </x:c>
      <x:c r="W25" s="25" t="str">
        <x:v>https://chgis.hudci.org/tgaz/placename/hvd_40913</x:v>
      </x:c>
      <x:c r="X25" s="25" t="str">
        <x:v>只作下一階段候選點的bbox→polygon限制；非法律界線。邊界經0.001°拓撲保留簡化；近界候選建議加0.01° buffer。</x:v>
      </x:c>
    </x:row>
    <x:row r="26" ht="58.5" customHeight="1">
      <x:c r="A26" s="25" t="str">
        <x:v>ADM-020</x:v>
      </x:c>
      <x:c r="B26" s="25" t="str">
        <x:v>縣級</x:v>
      </x:c>
      <x:c r="C26" s="25" t="str">
        <x:v>江西省</x:v>
      </x:c>
      <x:c r="D26" s="25" t="str">
        <x:v>吉安市</x:v>
      </x:c>
      <x:c r="E26" s="25" t="str">
        <x:v>永新縣</x:v>
      </x:c>
      <x:c r="F26" s="25" t="str">
        <x:v>永新縣</x:v>
      </x:c>
      <x:c r="G26" s="53" t="n">
        <x:v>114.1493277</x:v>
      </x:c>
      <x:c r="H26" s="53" t="n">
        <x:v>26.9668911</x:v>
      </x:c>
      <x:c r="I26" s="53" t="n">
        <x:v>113.8290882</x:v>
      </x:c>
      <x:c r="J26" s="53" t="n">
        <x:v>26.7246997</x:v>
      </x:c>
      <x:c r="K26" s="53" t="n">
        <x:v>114.4791879</x:v>
      </x:c>
      <x:c r="L26" s="53" t="n">
        <x:v>27.2262382</x:v>
      </x:c>
      <x:c r="M26" s="25" t="str">
        <x:v>Polygon</x:v>
      </x:c>
      <x:c r="N26" s="25" t="n">
        <x:v>1</x:v>
      </x:c>
      <x:c r="O26" s="25" t="n">
        <x:v>1</x:v>
      </x:c>
      <x:c r="P26" s="25" t="n">
        <x:v>337</x:v>
      </x:c>
      <x:c r="Q26" s="25" t="n">
        <x:v>0.001</x:v>
      </x:c>
      <x:c r="R26" s="25" t="str">
        <x:v>永新縣</x:v>
      </x:c>
      <x:c r="S26" s="25" t="str">
        <x:v>永新縣@114.236870,26.945560</x:v>
      </x:c>
      <x:c r="T26" s="25" t="str">
        <x:v>confirmed（inside 1；outside 0）</x:v>
      </x:c>
      <x:c r="U26" s="25" t="str">
        <x:v>confirmed</x:v>
      </x:c>
      <x:c r="V26" s="25" t="str">
        <x:v>https://www.openstreetmap.org/relation/2950515
https://nominatim.openstreetmap.org/search?q=%E6%B0%B8%E6%96%B0%E5%8E%BF%2C+%E5%90%89%E5%AE%89%E5%B8%82%2C+%E6%B1%9F%E8%A5%BF%E7%9C%81%2C+%E4%B8%AD%E5%9B%BD&amp;format=jsonv2&amp;polygon_geojson=1&amp;polygon_threshold=0.001&amp;addressdetails=1&amp;limit=5&amp;countrycodes=cn&amp;accept-language=zh-CN</x:v>
      </x:c>
      <x:c r="W26" s="25" t="str">
        <x:v>https://chgis.hudci.org/tgaz/placename/hvd_40926</x:v>
      </x:c>
      <x:c r="X26" s="25" t="str">
        <x:v>只作下一階段候選點的bbox→polygon限制；非法律界線。邊界經0.001°拓撲保留簡化；近界候選建議加0.01° buffer。</x:v>
      </x:c>
    </x:row>
    <x:row r="27" ht="58.5" customHeight="1">
      <x:c r="A27" s="25" t="str">
        <x:v>ADM-021</x:v>
      </x:c>
      <x:c r="B27" s="25" t="str">
        <x:v>縣級</x:v>
      </x:c>
      <x:c r="C27" s="25" t="str">
        <x:v>江西省</x:v>
      </x:c>
      <x:c r="D27" s="25" t="str">
        <x:v>吉安市</x:v>
      </x:c>
      <x:c r="E27" s="25" t="str">
        <x:v>永豐縣</x:v>
      </x:c>
      <x:c r="F27" s="25" t="str">
        <x:v>永豐縣</x:v>
      </x:c>
      <x:c r="G27" s="53" t="n">
        <x:v>115.6337755</x:v>
      </x:c>
      <x:c r="H27" s="53" t="n">
        <x:v>27.0955782</x:v>
      </x:c>
      <x:c r="I27" s="53" t="n">
        <x:v>115.2723454</x:v>
      </x:c>
      <x:c r="J27" s="53" t="n">
        <x:v>26.6439594</x:v>
      </x:c>
      <x:c r="K27" s="53" t="n">
        <x:v>115.930953</x:v>
      </x:c>
      <x:c r="L27" s="53" t="n">
        <x:v>27.5251863</x:v>
      </x:c>
      <x:c r="M27" s="25" t="str">
        <x:v>Polygon</x:v>
      </x:c>
      <x:c r="N27" s="25" t="n">
        <x:v>1</x:v>
      </x:c>
      <x:c r="O27" s="25" t="n">
        <x:v>1</x:v>
      </x:c>
      <x:c r="P27" s="25" t="n">
        <x:v>911</x:v>
      </x:c>
      <x:c r="Q27" s="25" t="n">
        <x:v>0.001</x:v>
      </x:c>
      <x:c r="R27" s="25" t="str">
        <x:v>永豐縣</x:v>
      </x:c>
      <x:c r="S27" s="25" t="str">
        <x:v>永豐縣@115.432720,27.322110</x:v>
      </x:c>
      <x:c r="T27" s="25" t="str">
        <x:v>confirmed（inside 1；outside 0）</x:v>
      </x:c>
      <x:c r="U27" s="25" t="str">
        <x:v>confirmed</x:v>
      </x:c>
      <x:c r="V27" s="25" t="str">
        <x:v>https://www.openstreetmap.org/relation/2950514
https://nominatim.openstreetmap.org/search?q=%E6%B0%B8%E4%B8%B0%E5%8E%BF%2C+%E5%90%89%E5%AE%89%E5%B8%82%2C+%E6%B1%9F%E8%A5%BF%E7%9C%81%2C+%E4%B8%AD%E5%9B%BD&amp;format=jsonv2&amp;polygon_geojson=1&amp;polygon_threshold=0.001&amp;addressdetails=1&amp;limit=5&amp;countrycodes=cn&amp;accept-language=zh-CN</x:v>
      </x:c>
      <x:c r="W27" s="25" t="str">
        <x:v>https://chgis.hudci.org/tgaz/placename/hvd_40901</x:v>
      </x:c>
      <x:c r="X27" s="25" t="str">
        <x:v>只作下一階段候選點的bbox→polygon限制；非法律界線。邊界經0.001°拓撲保留簡化；近界候選建議加0.01° buffer。</x:v>
      </x:c>
    </x:row>
    <x:row r="28" ht="58.5" customHeight="1">
      <x:c r="A28" s="25" t="str">
        <x:v>ADM-022</x:v>
      </x:c>
      <x:c r="B28" s="25" t="str">
        <x:v>縣級</x:v>
      </x:c>
      <x:c r="C28" s="25" t="str">
        <x:v>江西省</x:v>
      </x:c>
      <x:c r="D28" s="25" t="str">
        <x:v>吉安市</x:v>
      </x:c>
      <x:c r="E28" s="25" t="str">
        <x:v>青原區</x:v>
      </x:c>
      <x:c r="F28" s="25" t="str">
        <x:v>青原區</x:v>
      </x:c>
      <x:c r="G28" s="53" t="n">
        <x:v>115.220059</x:v>
      </x:c>
      <x:c r="H28" s="53" t="n">
        <x:v>26.8809678</x:v>
      </x:c>
      <x:c r="I28" s="53" t="n">
        <x:v>114.9842325</x:v>
      </x:c>
      <x:c r="J28" s="53" t="n">
        <x:v>26.6535362</x:v>
      </x:c>
      <x:c r="K28" s="53" t="n">
        <x:v>115.5069471</x:v>
      </x:c>
      <x:c r="L28" s="53" t="n">
        <x:v>27.1631528</x:v>
      </x:c>
      <x:c r="M28" s="25" t="str">
        <x:v>Polygon</x:v>
      </x:c>
      <x:c r="N28" s="25" t="n">
        <x:v>1</x:v>
      </x:c>
      <x:c r="O28" s="25" t="n">
        <x:v>1</x:v>
      </x:c>
      <x:c r="P28" s="25" t="n">
        <x:v>459</x:v>
      </x:c>
      <x:c r="Q28" s="25" t="n">
        <x:v>0.001</x:v>
      </x:c>
      <x:c r="R28" s="25" t="str">
        <x:v>廬陵縣</x:v>
      </x:c>
      <x:c r="S28" s="25" t="str">
        <x:v>廬陵縣@114.971280,27.103240</x:v>
      </x:c>
      <x:c r="T28" s="25" t="str">
        <x:v>review（inside 0；outside 1）</x:v>
      </x:c>
      <x:c r="U28" s="25" t="str">
        <x:v>confirmed</x:v>
      </x:c>
      <x:c r="V28" s="25" t="str">
        <x:v>https://www.openstreetmap.org/relation/2949891
https://nominatim.openstreetmap.org/search?q=%E9%9D%92%E5%8E%9F%E5%8C%BA%2C+%E5%90%89%E5%AE%89%E5%B8%82%2C+%E6%B1%9F%E8%A5%BF%E7%9C%81%2C+%E4%B8%AD%E5%9B%BD&amp;format=jsonv2&amp;polygon_geojson=1&amp;polygon_threshold=0.001&amp;addressdetails=1&amp;limit=5&amp;countrycodes=cn&amp;accept-language=zh-CN</x:v>
      </x:c>
      <x:c r="W28" s="25" t="str">
        <x:v>https://chgis.hudci.org/tgaz/placename/hvd_40888</x:v>
      </x:c>
      <x:c r="X28" s="25" t="str">
        <x:v>只作下一階段候選點的bbox→polygon限制；非法律界線。CHGIS治所點不在此現代polygon內，反映古今轄境／治所差異，須review；近界候選建議加0.01° buffer。</x:v>
      </x:c>
    </x:row>
    <x:row r="29" ht="58.5" customHeight="1">
      <x:c r="A29" s="25" t="str">
        <x:v>ADM-023</x:v>
      </x:c>
      <x:c r="B29" s="25" t="str">
        <x:v>縣級</x:v>
      </x:c>
      <x:c r="C29" s="25" t="str">
        <x:v>江西省</x:v>
      </x:c>
      <x:c r="D29" s="25" t="str">
        <x:v>撫州市</x:v>
      </x:c>
      <x:c r="E29" s="25" t="str">
        <x:v>南城縣</x:v>
      </x:c>
      <x:c r="F29" s="25" t="str">
        <x:v>南城縣</x:v>
      </x:c>
      <x:c r="G29" s="53" t="n">
        <x:v>116.6959839</x:v>
      </x:c>
      <x:c r="H29" s="53" t="n">
        <x:v>27.5098951</x:v>
      </x:c>
      <x:c r="I29" s="53" t="n">
        <x:v>116.3956643</x:v>
      </x:c>
      <x:c r="J29" s="53" t="n">
        <x:v>27.2847235</x:v>
      </x:c>
      <x:c r="K29" s="53" t="n">
        <x:v>116.9585914</x:v>
      </x:c>
      <x:c r="L29" s="53" t="n">
        <x:v>27.7863896</x:v>
      </x:c>
      <x:c r="M29" s="25" t="str">
        <x:v>Polygon</x:v>
      </x:c>
      <x:c r="N29" s="25" t="n">
        <x:v>1</x:v>
      </x:c>
      <x:c r="O29" s="25" t="n">
        <x:v>1</x:v>
      </x:c>
      <x:c r="P29" s="25" t="n">
        <x:v>548</x:v>
      </x:c>
      <x:c r="Q29" s="25" t="n">
        <x:v>0.001</x:v>
      </x:c>
      <x:c r="R29" s="25" t="str">
        <x:v>南城縣</x:v>
      </x:c>
      <x:c r="S29" s="25" t="str">
        <x:v>南城縣@116.627450,27.559720</x:v>
      </x:c>
      <x:c r="T29" s="25" t="str">
        <x:v>confirmed（inside 1；outside 0）</x:v>
      </x:c>
      <x:c r="U29" s="25" t="str">
        <x:v>confirmed</x:v>
      </x:c>
      <x:c r="V29" s="25" t="str">
        <x:v>https://www.openstreetmap.org/relation/3182601
https://nominatim.openstreetmap.org/search?q=%E5%8D%97%E5%9F%8E%E5%8E%BF%2C+%E6%8A%9A%E5%B7%9E%E5%B8%82%2C+%E6%B1%9F%E8%A5%BF%E7%9C%81%2C+%E4%B8%AD%E5%9B%BD&amp;format=jsonv2&amp;polygon_geojson=1&amp;polygon_threshold=0.001&amp;addressdetails=1&amp;limit=5&amp;countrycodes=cn&amp;accept-language=zh-CN</x:v>
      </x:c>
      <x:c r="W29" s="25" t="str">
        <x:v>https://chgis.hudci.org/tgaz/placename/hvd_40982</x:v>
      </x:c>
      <x:c r="X29" s="25" t="str">
        <x:v>只作下一階段候選點的bbox→polygon限制；非法律界線。邊界經0.001°拓撲保留簡化；近界候選建議加0.01° buffer。</x:v>
      </x:c>
    </x:row>
    <x:row r="30" ht="58.5" customHeight="1">
      <x:c r="A30" s="25" t="str">
        <x:v>ADM-024</x:v>
      </x:c>
      <x:c r="B30" s="25" t="str">
        <x:v>縣級</x:v>
      </x:c>
      <x:c r="C30" s="25" t="str">
        <x:v>江西省</x:v>
      </x:c>
      <x:c r="D30" s="25" t="str">
        <x:v>撫州市</x:v>
      </x:c>
      <x:c r="E30" s="25" t="str">
        <x:v>南豐縣</x:v>
      </x:c>
      <x:c r="F30" s="25" t="str">
        <x:v>南豐縣</x:v>
      </x:c>
      <x:c r="G30" s="53" t="n">
        <x:v>116.5138413</x:v>
      </x:c>
      <x:c r="H30" s="53" t="n">
        <x:v>27.1276038</x:v>
      </x:c>
      <x:c r="I30" s="53" t="n">
        <x:v>116.1476498</x:v>
      </x:c>
      <x:c r="J30" s="53" t="n">
        <x:v>26.8583445</x:v>
      </x:c>
      <x:c r="K30" s="53" t="n">
        <x:v>116.7479324</x:v>
      </x:c>
      <x:c r="L30" s="53" t="n">
        <x:v>27.3554845</x:v>
      </x:c>
      <x:c r="M30" s="25" t="str">
        <x:v>Polygon</x:v>
      </x:c>
      <x:c r="N30" s="25" t="n">
        <x:v>1</x:v>
      </x:c>
      <x:c r="O30" s="25" t="n">
        <x:v>1</x:v>
      </x:c>
      <x:c r="P30" s="25" t="n">
        <x:v>424</x:v>
      </x:c>
      <x:c r="Q30" s="25" t="n">
        <x:v>0.001</x:v>
      </x:c>
      <x:c r="R30" s="25" t="str">
        <x:v>南豐縣</x:v>
      </x:c>
      <x:c r="S30" s="25" t="str">
        <x:v>南豐縣@116.529930,27.214310</x:v>
      </x:c>
      <x:c r="T30" s="25" t="str">
        <x:v>confirmed（inside 1；outside 0）</x:v>
      </x:c>
      <x:c r="U30" s="25" t="str">
        <x:v>confirmed</x:v>
      </x:c>
      <x:c r="V30" s="25" t="str">
        <x:v>https://www.openstreetmap.org/relation/3182602
https://nominatim.openstreetmap.org/search?q=%E5%8D%97%E4%B8%B0%E5%8E%BF%2C+%E6%8A%9A%E5%B7%9E%E5%B8%82%2C+%E6%B1%9F%E8%A5%BF%E7%9C%81%2C+%E4%B8%AD%E5%9B%BD&amp;format=jsonv2&amp;polygon_geojson=1&amp;polygon_threshold=0.001&amp;addressdetails=1&amp;limit=5&amp;countrycodes=cn&amp;accept-language=zh-CN</x:v>
      </x:c>
      <x:c r="W30" s="25" t="str">
        <x:v>https://chgis.hudci.org/tgaz/placename/hvd_40987</x:v>
      </x:c>
      <x:c r="X30" s="25" t="str">
        <x:v>只作下一階段候選點的bbox→polygon限制；非法律界線。邊界經0.001°拓撲保留簡化；近界候選建議加0.01° buffer。</x:v>
      </x:c>
    </x:row>
    <x:row r="31" ht="58.5" customHeight="1">
      <x:c r="A31" s="25" t="str">
        <x:v>ADM-025</x:v>
      </x:c>
      <x:c r="B31" s="25" t="str">
        <x:v>縣級</x:v>
      </x:c>
      <x:c r="C31" s="25" t="str">
        <x:v>江西省</x:v>
      </x:c>
      <x:c r="D31" s="25" t="str">
        <x:v>撫州市</x:v>
      </x:c>
      <x:c r="E31" s="25" t="str">
        <x:v>宜黃縣</x:v>
      </x:c>
      <x:c r="F31" s="25" t="str">
        <x:v>宜黃縣</x:v>
      </x:c>
      <x:c r="G31" s="53" t="n">
        <x:v>116.2134675</x:v>
      </x:c>
      <x:c r="H31" s="53" t="n">
        <x:v>27.3926311</x:v>
      </x:c>
      <x:c r="I31" s="53" t="n">
        <x:v>116.0155858</x:v>
      </x:c>
      <x:c r="J31" s="53" t="n">
        <x:v>27.0422082</x:v>
      </x:c>
      <x:c r="K31" s="53" t="n">
        <x:v>116.480043</x:v>
      </x:c>
      <x:c r="L31" s="53" t="n">
        <x:v>27.7201277</x:v>
      </x:c>
      <x:c r="M31" s="25" t="str">
        <x:v>Polygon</x:v>
      </x:c>
      <x:c r="N31" s="25" t="n">
        <x:v>1</x:v>
      </x:c>
      <x:c r="O31" s="25" t="n">
        <x:v>1</x:v>
      </x:c>
      <x:c r="P31" s="25" t="n">
        <x:v>402</x:v>
      </x:c>
      <x:c r="Q31" s="25" t="n">
        <x:v>0.001</x:v>
      </x:c>
      <x:c r="R31" s="25" t="str">
        <x:v>宜黃縣</x:v>
      </x:c>
      <x:c r="S31" s="25" t="str">
        <x:v>宜黃縣@116.210180,27.546390</x:v>
      </x:c>
      <x:c r="T31" s="25" t="str">
        <x:v>confirmed（inside 1；outside 0）</x:v>
      </x:c>
      <x:c r="U31" s="25" t="str">
        <x:v>confirmed</x:v>
      </x:c>
      <x:c r="V31" s="25" t="str">
        <x:v>https://www.openstreetmap.org/relation/3182603
https://nominatim.openstreetmap.org/search?q=%E5%AE%9C%E9%BB%84%E5%8E%BF%2C+%E6%8A%9A%E5%B7%9E%E5%B8%82%2C+%E6%B1%9F%E8%A5%BF%E7%9C%81%2C+%E4%B8%AD%E5%9B%BD&amp;format=jsonv2&amp;polygon_geojson=1&amp;polygon_threshold=0.001&amp;addressdetails=1&amp;limit=5&amp;countrycodes=cn&amp;accept-language=zh-CN</x:v>
      </x:c>
      <x:c r="W31" s="25" t="str">
        <x:v>https://chgis.hudci.org/tgaz/placename/hvd_41003</x:v>
      </x:c>
      <x:c r="X31" s="25" t="str">
        <x:v>只作下一階段候選點的bbox→polygon限制；非法律界線。邊界經0.001°拓撲保留簡化；近界候選建議加0.01° buffer。</x:v>
      </x:c>
    </x:row>
    <x:row r="32" ht="58.5" customHeight="1">
      <x:c r="A32" s="25" t="str">
        <x:v>ADM-026</x:v>
      </x:c>
      <x:c r="B32" s="25" t="str">
        <x:v>縣級</x:v>
      </x:c>
      <x:c r="C32" s="25" t="str">
        <x:v>江西省</x:v>
      </x:c>
      <x:c r="D32" s="25" t="str">
        <x:v>撫州市</x:v>
      </x:c>
      <x:c r="E32" s="25" t="str">
        <x:v>崇仁縣</x:v>
      </x:c>
      <x:c r="F32" s="25" t="str">
        <x:v>崇仁縣</x:v>
      </x:c>
      <x:c r="G32" s="53" t="n">
        <x:v>116.0511905</x:v>
      </x:c>
      <x:c r="H32" s="53" t="n">
        <x:v>27.7020824</x:v>
      </x:c>
      <x:c r="I32" s="53" t="n">
        <x:v>115.8214687</x:v>
      </x:c>
      <x:c r="J32" s="53" t="n">
        <x:v>27.4209926</x:v>
      </x:c>
      <x:c r="K32" s="53" t="n">
        <x:v>116.2745273</x:v>
      </x:c>
      <x:c r="L32" s="53" t="n">
        <x:v>27.9401902</x:v>
      </x:c>
      <x:c r="M32" s="25" t="str">
        <x:v>Polygon</x:v>
      </x:c>
      <x:c r="N32" s="25" t="n">
        <x:v>1</x:v>
      </x:c>
      <x:c r="O32" s="25" t="n">
        <x:v>1</x:v>
      </x:c>
      <x:c r="P32" s="25" t="n">
        <x:v>421</x:v>
      </x:c>
      <x:c r="Q32" s="25" t="n">
        <x:v>0.001</x:v>
      </x:c>
      <x:c r="R32" s="25" t="str">
        <x:v>崇仁縣</x:v>
      </x:c>
      <x:c r="S32" s="25" t="str">
        <x:v>崇仁縣@116.061580,27.755640</x:v>
      </x:c>
      <x:c r="T32" s="25" t="str">
        <x:v>confirmed（inside 1；outside 0）</x:v>
      </x:c>
      <x:c r="U32" s="25" t="str">
        <x:v>confirmed</x:v>
      </x:c>
      <x:c r="V32" s="25" t="str">
        <x:v>https://www.openstreetmap.org/relation/3182594
https://nominatim.openstreetmap.org/search?q=%E5%B4%87%E4%BB%81%E5%8E%BF%2C+%E6%8A%9A%E5%B7%9E%E5%B8%82%2C+%E6%B1%9F%E8%A5%BF%E7%9C%81%2C+%E4%B8%AD%E5%9B%BD&amp;format=jsonv2&amp;polygon_geojson=1&amp;polygon_threshold=0.001&amp;addressdetails=1&amp;limit=5&amp;countrycodes=cn&amp;accept-language=zh-CN</x:v>
      </x:c>
      <x:c r="W32" s="25" t="str">
        <x:v>https://chgis.hudci.org/tgaz/placename/hvd_40999</x:v>
      </x:c>
      <x:c r="X32" s="25" t="str">
        <x:v>只作下一階段候選點的bbox→polygon限制；非法律界線。邊界經0.001°拓撲保留簡化；近界候選建議加0.01° buffer。</x:v>
      </x:c>
    </x:row>
    <x:row r="33" ht="58.5" customHeight="1">
      <x:c r="A33" s="25" t="str">
        <x:v>ADM-027</x:v>
      </x:c>
      <x:c r="B33" s="25" t="str">
        <x:v>縣級</x:v>
      </x:c>
      <x:c r="C33" s="25" t="str">
        <x:v>江西省</x:v>
      </x:c>
      <x:c r="D33" s="25" t="str">
        <x:v>撫州市</x:v>
      </x:c>
      <x:c r="E33" s="25" t="str">
        <x:v>樂安縣</x:v>
      </x:c>
      <x:c r="F33" s="25" t="str">
        <x:v>樂安縣</x:v>
      </x:c>
      <x:c r="G33" s="53" t="n">
        <x:v>115.8367566</x:v>
      </x:c>
      <x:c r="H33" s="53" t="n">
        <x:v>27.3854908</x:v>
      </x:c>
      <x:c r="I33" s="53" t="n">
        <x:v>115.5873148</x:v>
      </x:c>
      <x:c r="J33" s="53" t="n">
        <x:v>26.9686641</x:v>
      </x:c>
      <x:c r="K33" s="53" t="n">
        <x:v>116.0735538</x:v>
      </x:c>
      <x:c r="L33" s="53" t="n">
        <x:v>27.7509432</x:v>
      </x:c>
      <x:c r="M33" s="25" t="str">
        <x:v>Polygon</x:v>
      </x:c>
      <x:c r="N33" s="25" t="n">
        <x:v>1</x:v>
      </x:c>
      <x:c r="O33" s="25" t="n">
        <x:v>1</x:v>
      </x:c>
      <x:c r="P33" s="25" t="n">
        <x:v>497</x:v>
      </x:c>
      <x:c r="Q33" s="25" t="n">
        <x:v>0.001</x:v>
      </x:c>
      <x:c r="R33" s="25" t="str">
        <x:v>樂安縣</x:v>
      </x:c>
      <x:c r="S33" s="25" t="str">
        <x:v>樂安縣@115.831780,27.426290</x:v>
      </x:c>
      <x:c r="T33" s="25" t="str">
        <x:v>confirmed（inside 1；outside 0）</x:v>
      </x:c>
      <x:c r="U33" s="25" t="str">
        <x:v>confirmed</x:v>
      </x:c>
      <x:c r="V33" s="25" t="str">
        <x:v>https://www.openstreetmap.org/relation/3182598
https://nominatim.openstreetmap.org/search?q=%E4%B9%90%E5%AE%89%E5%8E%BF%2C+%E6%8A%9A%E5%B7%9E%E5%B8%82%2C+%E6%B1%9F%E8%A5%BF%E7%9C%81%2C+%E4%B8%AD%E5%9B%BD&amp;format=jsonv2&amp;polygon_geojson=1&amp;polygon_threshold=0.001&amp;addressdetails=1&amp;limit=5&amp;countrycodes=cn&amp;accept-language=zh-CN</x:v>
      </x:c>
      <x:c r="W33" s="25" t="str">
        <x:v>https://chgis.hudci.org/tgaz/placename/hvd_41004</x:v>
      </x:c>
      <x:c r="X33" s="25" t="str">
        <x:v>只作下一階段候選點的bbox→polygon限制；非法律界線。邊界經0.001°拓撲保留簡化；近界候選建議加0.01° buffer。</x:v>
      </x:c>
    </x:row>
    <x:row r="34" ht="58.5" customHeight="1">
      <x:c r="A34" s="25" t="str">
        <x:v>ADM-028</x:v>
      </x:c>
      <x:c r="B34" s="25" t="str">
        <x:v>縣級</x:v>
      </x:c>
      <x:c r="C34" s="25" t="str">
        <x:v>江西省</x:v>
      </x:c>
      <x:c r="D34" s="25" t="str">
        <x:v>撫州市</x:v>
      </x:c>
      <x:c r="E34" s="25" t="str">
        <x:v>臨川區</x:v>
      </x:c>
      <x:c r="F34" s="25" t="str">
        <x:v>臨川區</x:v>
      </x:c>
      <x:c r="G34" s="53" t="n">
        <x:v>116.381776</x:v>
      </x:c>
      <x:c r="H34" s="53" t="n">
        <x:v>27.8735302</x:v>
      </x:c>
      <x:c r="I34" s="53" t="n">
        <x:v>116.0567897</x:v>
      </x:c>
      <x:c r="J34" s="53" t="n">
        <x:v>27.507494</x:v>
      </x:c>
      <x:c r="K34" s="53" t="n">
        <x:v>116.6525531</x:v>
      </x:c>
      <x:c r="L34" s="53" t="n">
        <x:v>28.2575672</x:v>
      </x:c>
      <x:c r="M34" s="25" t="str">
        <x:v>Polygon</x:v>
      </x:c>
      <x:c r="N34" s="25" t="n">
        <x:v>1</x:v>
      </x:c>
      <x:c r="O34" s="25" t="n">
        <x:v>1</x:v>
      </x:c>
      <x:c r="P34" s="25" t="n">
        <x:v>758</x:v>
      </x:c>
      <x:c r="Q34" s="25" t="n">
        <x:v>0.001</x:v>
      </x:c>
      <x:c r="R34" s="25" t="str">
        <x:v>臨川縣</x:v>
      </x:c>
      <x:c r="S34" s="25" t="str">
        <x:v>臨川縣@116.351340,27.984780</x:v>
      </x:c>
      <x:c r="T34" s="25" t="str">
        <x:v>confirmed（inside 1；outside 0）</x:v>
      </x:c>
      <x:c r="U34" s="25" t="str">
        <x:v>confirmed</x:v>
      </x:c>
      <x:c r="V34" s="25" t="str">
        <x:v>https://www.openstreetmap.org/relation/3182600
https://nominatim.openstreetmap.org/search?q=%E4%B8%B4%E5%B7%9D%E5%8C%BA%2C+%E6%8A%9A%E5%B7%9E%E5%B8%82%2C+%E6%B1%9F%E8%A5%BF%E7%9C%81%2C+%E4%B8%AD%E5%9B%BD&amp;format=jsonv2&amp;polygon_geojson=1&amp;polygon_threshold=0.001&amp;addressdetails=1&amp;limit=5&amp;countrycodes=cn&amp;accept-language=zh-CN</x:v>
      </x:c>
      <x:c r="W34" s="25" t="str">
        <x:v>https://chgis.hudci.org/tgaz/placename/hvd_40998</x:v>
      </x:c>
      <x:c r="X34" s="25" t="str">
        <x:v>只作下一階段候選點的bbox→polygon限制；非法律界線。邊界經0.001°拓撲保留簡化；近界候選建議加0.01° buffer。</x:v>
      </x:c>
    </x:row>
    <x:row r="35" ht="58.5" customHeight="1">
      <x:c r="A35" s="25" t="str">
        <x:v>ADM-029</x:v>
      </x:c>
      <x:c r="B35" s="25" t="str">
        <x:v>縣級</x:v>
      </x:c>
      <x:c r="C35" s="25" t="str">
        <x:v>江西省</x:v>
      </x:c>
      <x:c r="D35" s="25" t="str">
        <x:v>撫州市</x:v>
      </x:c>
      <x:c r="E35" s="25" t="str">
        <x:v>金溪縣</x:v>
      </x:c>
      <x:c r="F35" s="25" t="str">
        <x:v>金溪縣</x:v>
      </x:c>
      <x:c r="G35" s="53" t="n">
        <x:v>116.7441527</x:v>
      </x:c>
      <x:c r="H35" s="53" t="n">
        <x:v>27.9040959</x:v>
      </x:c>
      <x:c r="I35" s="53" t="n">
        <x:v>116.4573143</x:v>
      </x:c>
      <x:c r="J35" s="53" t="n">
        <x:v>27.6827783</x:v>
      </x:c>
      <x:c r="K35" s="53" t="n">
        <x:v>117.0468627</x:v>
      </x:c>
      <x:c r="L35" s="53" t="n">
        <x:v>28.1040391</x:v>
      </x:c>
      <x:c r="M35" s="25" t="str">
        <x:v>Polygon</x:v>
      </x:c>
      <x:c r="N35" s="25" t="n">
        <x:v>1</x:v>
      </x:c>
      <x:c r="O35" s="25" t="n">
        <x:v>1</x:v>
      </x:c>
      <x:c r="P35" s="25" t="n">
        <x:v>467</x:v>
      </x:c>
      <x:c r="Q35" s="25" t="n">
        <x:v>0.001</x:v>
      </x:c>
      <x:c r="R35" s="25" t="str">
        <x:v>金谿縣</x:v>
      </x:c>
      <x:c r="S35" s="25" t="str">
        <x:v>金谿縣@116.776260,27.910080</x:v>
      </x:c>
      <x:c r="T35" s="25" t="str">
        <x:v>confirmed（inside 1；outside 0）</x:v>
      </x:c>
      <x:c r="U35" s="25" t="str">
        <x:v>confirmed</x:v>
      </x:c>
      <x:c r="V35" s="25" t="str">
        <x:v>https://www.openstreetmap.org/relation/3182597
https://nominatim.openstreetmap.org/search?q=%E9%87%91%E6%BA%AA%E5%8E%BF%2C+%E6%8A%9A%E5%B7%9E%E5%B8%82%2C+%E6%B1%9F%E8%A5%BF%E7%9C%81%2C+%E4%B8%AD%E5%9B%BD&amp;format=jsonv2&amp;polygon_geojson=1&amp;polygon_threshold=0.001&amp;addressdetails=1&amp;limit=5&amp;countrycodes=cn&amp;accept-language=zh-CN</x:v>
      </x:c>
      <x:c r="W35" s="25" t="str">
        <x:v>https://chgis.hudci.org/tgaz/placename/hvd_41000</x:v>
      </x:c>
      <x:c r="X35" s="25" t="str">
        <x:v>只作下一階段候選點的bbox→polygon限制；非法律界線。邊界經0.001°拓撲保留簡化；近界候選建議加0.01° buffer。</x:v>
      </x:c>
    </x:row>
    <x:row r="36" ht="58.5" customHeight="1">
      <x:c r="A36" s="25" t="str">
        <x:v>ADM-030</x:v>
      </x:c>
      <x:c r="B36" s="25" t="str">
        <x:v>縣級</x:v>
      </x:c>
      <x:c r="C36" s="25" t="str">
        <x:v>江西省</x:v>
      </x:c>
      <x:c r="D36" s="25" t="str">
        <x:v>撫州市</x:v>
      </x:c>
      <x:c r="E36" s="25" t="str">
        <x:v>黎川縣</x:v>
      </x:c>
      <x:c r="F36" s="25" t="str">
        <x:v>黎川縣</x:v>
      </x:c>
      <x:c r="G36" s="53" t="n">
        <x:v>116.9459013</x:v>
      </x:c>
      <x:c r="H36" s="53" t="n">
        <x:v>27.2502</x:v>
      </x:c>
      <x:c r="I36" s="53" t="n">
        <x:v>116.7024422</x:v>
      </x:c>
      <x:c r="J36" s="53" t="n">
        <x:v>26.9820525</x:v>
      </x:c>
      <x:c r="K36" s="53" t="n">
        <x:v>117.1664154</x:v>
      </x:c>
      <x:c r="L36" s="53" t="n">
        <x:v>27.5697449</x:v>
      </x:c>
      <x:c r="M36" s="25" t="str">
        <x:v>Polygon</x:v>
      </x:c>
      <x:c r="N36" s="25" t="n">
        <x:v>1</x:v>
      </x:c>
      <x:c r="O36" s="25" t="n">
        <x:v>1</x:v>
      </x:c>
      <x:c r="P36" s="25" t="n">
        <x:v>387</x:v>
      </x:c>
      <x:c r="Q36" s="25" t="n">
        <x:v>0.001</x:v>
      </x:c>
      <x:c r="R36" s="25" t="str">
        <x:v>新城縣</x:v>
      </x:c>
      <x:c r="S36" s="25" t="str">
        <x:v>新城縣@116.914230,27.296830</x:v>
      </x:c>
      <x:c r="T36" s="25" t="str">
        <x:v>confirmed（inside 1；outside 0）</x:v>
      </x:c>
      <x:c r="U36" s="25" t="str">
        <x:v>confirmed</x:v>
      </x:c>
      <x:c r="V36" s="25" t="str">
        <x:v>https://www.openstreetmap.org/relation/3182599
https://nominatim.openstreetmap.org/search?q=%E9%BB%8E%E5%B7%9D%E5%8E%BF%2C+%E6%8A%9A%E5%B7%9E%E5%B8%82%2C+%E6%B1%9F%E8%A5%BF%E7%9C%81%2C+%E4%B8%AD%E5%9B%BD&amp;format=jsonv2&amp;polygon_geojson=1&amp;polygon_threshold=0.001&amp;addressdetails=1&amp;limit=5&amp;countrycodes=cn&amp;accept-language=zh-CN</x:v>
      </x:c>
      <x:c r="W36" s="25" t="str">
        <x:v>https://chgis.hudci.org/tgaz/placename/hvd_40983</x:v>
      </x:c>
      <x:c r="X36" s="25" t="str">
        <x:v>只作下一階段候選點的bbox→polygon限制；非法律界線。邊界經0.001°拓撲保留簡化；近界候選建議加0.01° buffer。</x:v>
      </x:c>
    </x:row>
    <x:row r="37" ht="58.5" customHeight="1">
      <x:c r="A37" s="25" t="str">
        <x:v>ADM-031</x:v>
      </x:c>
      <x:c r="B37" s="25" t="str">
        <x:v>縣級</x:v>
      </x:c>
      <x:c r="C37" s="25" t="str">
        <x:v>江西省</x:v>
      </x:c>
      <x:c r="D37" s="25" t="str">
        <x:v>鷹潭市</x:v>
      </x:c>
      <x:c r="E37" s="25" t="str">
        <x:v>余江區</x:v>
      </x:c>
      <x:c r="F37" s="25" t="str">
        <x:v>余江區</x:v>
      </x:c>
      <x:c r="G37" s="53" t="n">
        <x:v>116.920189</x:v>
      </x:c>
      <x:c r="H37" s="53" t="n">
        <x:v>28.3424772</x:v>
      </x:c>
      <x:c r="I37" s="53" t="n">
        <x:v>116.6847466</x:v>
      </x:c>
      <x:c r="J37" s="53" t="n">
        <x:v>28.0700466</x:v>
      </x:c>
      <x:c r="K37" s="53" t="n">
        <x:v>117.1459474</x:v>
      </x:c>
      <x:c r="L37" s="53" t="n">
        <x:v>28.610608</x:v>
      </x:c>
      <x:c r="M37" s="25" t="str">
        <x:v>Polygon</x:v>
      </x:c>
      <x:c r="N37" s="25" t="n">
        <x:v>1</x:v>
      </x:c>
      <x:c r="O37" s="25" t="n">
        <x:v>1</x:v>
      </x:c>
      <x:c r="P37" s="25" t="n">
        <x:v>647</x:v>
      </x:c>
      <x:c r="Q37" s="25" t="n">
        <x:v>0.001</x:v>
      </x:c>
      <x:c r="R37" s="25" t="str">
        <x:v>安仁縣</x:v>
      </x:c>
      <x:c r="S37" s="25" t="str">
        <x:v>安仁縣@116.903260,28.404430</x:v>
      </x:c>
      <x:c r="T37" s="25" t="str">
        <x:v>confirmed（inside 1；outside 0）</x:v>
      </x:c>
      <x:c r="U37" s="25" t="str">
        <x:v>confirmed</x:v>
      </x:c>
      <x:c r="V37" s="25" t="str">
        <x:v>https://www.openstreetmap.org/relation/3245899
https://nominatim.openstreetmap.org/search?q=%E4%BD%99%E6%B1%9F%E5%8C%BA%2C+%E9%B9%B0%E6%BD%AD%E5%B8%82%2C+%E6%B1%9F%E8%A5%BF%E7%9C%81%2C+%E4%B8%AD%E5%9B%BD&amp;format=jsonv2&amp;polygon_geojson=1&amp;polygon_threshold=0.001&amp;addressdetails=1&amp;limit=5&amp;countrycodes=cn&amp;accept-language=zh-CN</x:v>
      </x:c>
      <x:c r="W37" s="25" t="str">
        <x:v>https://chgis.hudci.org/tgaz/placename/hvd_41187</x:v>
      </x:c>
      <x:c r="X37" s="25" t="str">
        <x:v>只作下一階段候選點的bbox→polygon限制；非法律界線。邊界經0.001°拓撲保留簡化；近界候選建議加0.01° buffer。</x:v>
      </x:c>
    </x:row>
    <x:row r="38" ht="58.5" customHeight="1">
      <x:c r="A38" s="25" t="str">
        <x:v>ADM-032</x:v>
      </x:c>
      <x:c r="B38" s="25" t="str">
        <x:v>縣級</x:v>
      </x:c>
      <x:c r="C38" s="25" t="str">
        <x:v>江西省</x:v>
      </x:c>
      <x:c r="D38" s="25" t="str">
        <x:v>鷹潭市</x:v>
      </x:c>
      <x:c r="E38" s="25" t="str">
        <x:v>貴溪市</x:v>
      </x:c>
      <x:c r="F38" s="25" t="str">
        <x:v>貴溪市</x:v>
      </x:c>
      <x:c r="G38" s="53" t="n">
        <x:v>117.2209467</x:v>
      </x:c>
      <x:c r="H38" s="53" t="n">
        <x:v>28.175822</x:v>
      </x:c>
      <x:c r="I38" s="53" t="n">
        <x:v>116.9212544</x:v>
      </x:c>
      <x:c r="J38" s="53" t="n">
        <x:v>27.8477851</x:v>
      </x:c>
      <x:c r="K38" s="53" t="n">
        <x:v>117.4675286</x:v>
      </x:c>
      <x:c r="L38" s="53" t="n">
        <x:v>28.6306175</x:v>
      </x:c>
      <x:c r="M38" s="25" t="str">
        <x:v>Polygon</x:v>
      </x:c>
      <x:c r="N38" s="25" t="n">
        <x:v>1</x:v>
      </x:c>
      <x:c r="O38" s="25" t="n">
        <x:v>1</x:v>
      </x:c>
      <x:c r="P38" s="25" t="n">
        <x:v>840</x:v>
      </x:c>
      <x:c r="Q38" s="25" t="n">
        <x:v>0.001</x:v>
      </x:c>
      <x:c r="R38" s="25" t="str">
        <x:v>貴溪縣</x:v>
      </x:c>
      <x:c r="S38" s="25" t="str">
        <x:v>貴溪縣@117.202270,28.287900</x:v>
      </x:c>
      <x:c r="T38" s="25" t="str">
        <x:v>confirmed（inside 1；outside 0）</x:v>
      </x:c>
      <x:c r="U38" s="25" t="str">
        <x:v>confirmed</x:v>
      </x:c>
      <x:c r="V38" s="25" t="str">
        <x:v>https://www.openstreetmap.org/relation/3245897
https://nominatim.openstreetmap.org/search?q=%E8%B4%B5%E6%BA%AA%E5%B8%82%2C+%E9%B9%B0%E6%BD%AD%E5%B8%82%2C+%E6%B1%9F%E8%A5%BF%E7%9C%81%2C+%E4%B8%AD%E5%9B%BD&amp;format=jsonv2&amp;polygon_geojson=1&amp;polygon_threshold=0.001&amp;addressdetails=1&amp;limit=5&amp;countrycodes=cn&amp;accept-language=zh-CN</x:v>
      </x:c>
      <x:c r="W38" s="25" t="str">
        <x:v>https://chgis.hudci.org/tgaz/placename/hvd_41204</x:v>
      </x:c>
      <x:c r="X38" s="25" t="str">
        <x:v>只作下一階段候選點的bbox→polygon限制；非法律界線。邊界經0.001°拓撲保留簡化；近界候選建議加0.01° buffer。</x:v>
      </x:c>
    </x:row>
    <x:row r="39" ht="58.5" customHeight="1">
      <x:c r="A39" s="25" t="str">
        <x:v>ADM-033</x:v>
      </x:c>
      <x:c r="B39" s="25" t="str">
        <x:v>縣級</x:v>
      </x:c>
      <x:c r="C39" s="25" t="str">
        <x:v>浙江省</x:v>
      </x:c>
      <x:c r="D39" s="25" t="str">
        <x:v>衢州市</x:v>
      </x:c>
      <x:c r="E39" s="25" t="str">
        <x:v>常山縣</x:v>
      </x:c>
      <x:c r="F39" s="25" t="str">
        <x:v>常山縣</x:v>
      </x:c>
      <x:c r="G39" s="53" t="n">
        <x:v>118.5063585</x:v>
      </x:c>
      <x:c r="H39" s="53" t="n">
        <x:v>28.9060233</x:v>
      </x:c>
      <x:c r="I39" s="53" t="n">
        <x:v>118.2519087</x:v>
      </x:c>
      <x:c r="J39" s="53" t="n">
        <x:v>28.769792</x:v>
      </x:c>
      <x:c r="K39" s="53" t="n">
        <x:v>118.7588539</x:v>
      </x:c>
      <x:c r="L39" s="53" t="n">
        <x:v>29.2165514</x:v>
      </x:c>
      <x:c r="M39" s="25" t="str">
        <x:v>Polygon</x:v>
      </x:c>
      <x:c r="N39" s="25" t="n">
        <x:v>1</x:v>
      </x:c>
      <x:c r="O39" s="25" t="n">
        <x:v>1</x:v>
      </x:c>
      <x:c r="P39" s="25" t="n">
        <x:v>354</x:v>
      </x:c>
      <x:c r="Q39" s="25" t="n">
        <x:v>0.001</x:v>
      </x:c>
      <x:c r="R39" s="25" t="str">
        <x:v>常山縣</x:v>
      </x:c>
      <x:c r="S39" s="25" t="str">
        <x:v>常山縣@118.502660,28.903730</x:v>
      </x:c>
      <x:c r="T39" s="25" t="str">
        <x:v>confirmed（inside 1；outside 0）</x:v>
      </x:c>
      <x:c r="U39" s="25" t="str">
        <x:v>confirmed</x:v>
      </x:c>
      <x:c r="V39" s="25" t="str">
        <x:v>https://www.openstreetmap.org/relation/3278461
https://nominatim.openstreetmap.org/search?q=%E5%B8%B8%E5%B1%B1%E5%8E%BF%2C+%E8%A1%A2%E5%B7%9E%E5%B8%82%2C+%E6%B5%99%E6%B1%9F%E7%9C%81%2C+%E4%B8%AD%E5%9B%BD&amp;format=jsonv2&amp;polygon_geojson=1&amp;polygon_threshold=0.001&amp;addressdetails=1&amp;limit=5&amp;countrycodes=cn&amp;accept-language=zh-CN</x:v>
      </x:c>
      <x:c r="W39" s="25" t="str">
        <x:v>https://chgis.hudci.org/tgaz/placename/hvd_40629</x:v>
      </x:c>
      <x:c r="X39" s="25" t="str">
        <x:v>只作下一階段候選點的bbox→polygon限制；非法律界線。邊界經0.001°拓撲保留簡化；近界候選建議加0.01° buffer。</x:v>
      </x:c>
    </x:row>
    <x:row r="40" ht="58.5" customHeight="1">
      <x:c r="A40" s="26" t="str">
        <x:v>ADM-034</x:v>
      </x:c>
      <x:c r="B40" s="26" t="str">
        <x:v>縣級</x:v>
      </x:c>
      <x:c r="C40" s="26" t="str">
        <x:v>湖南省</x:v>
      </x:c>
      <x:c r="D40" s="26" t="str">
        <x:v>株洲市</x:v>
      </x:c>
      <x:c r="E40" s="26" t="str">
        <x:v>茶陵縣</x:v>
      </x:c>
      <x:c r="F40" s="26" t="str">
        <x:v>茶陵縣</x:v>
      </x:c>
      <x:c r="G40" s="54" t="n">
        <x:v>113.6907681</x:v>
      </x:c>
      <x:c r="H40" s="54" t="n">
        <x:v>26.7755608</x:v>
      </x:c>
      <x:c r="I40" s="54" t="n">
        <x:v>113.350409</x:v>
      </x:c>
      <x:c r="J40" s="54" t="n">
        <x:v>26.5071251</x:v>
      </x:c>
      <x:c r="K40" s="54" t="n">
        <x:v>113.9212459</x:v>
      </x:c>
      <x:c r="L40" s="54" t="n">
        <x:v>27.1261389</x:v>
      </x:c>
      <x:c r="M40" s="26" t="str">
        <x:v>Polygon</x:v>
      </x:c>
      <x:c r="N40" s="26" t="n">
        <x:v>1</x:v>
      </x:c>
      <x:c r="O40" s="26" t="n">
        <x:v>1</x:v>
      </x:c>
      <x:c r="P40" s="26" t="n">
        <x:v>369</x:v>
      </x:c>
      <x:c r="Q40" s="26" t="n">
        <x:v>0.001</x:v>
      </x:c>
      <x:c r="R40" s="26" t="str">
        <x:v>茶陵州</x:v>
      </x:c>
      <x:c r="S40" s="26" t="str">
        <x:v>茶陵州@113.552170,26.801980</x:v>
      </x:c>
      <x:c r="T40" s="26" t="str">
        <x:v>confirmed（inside 1；outside 0）</x:v>
      </x:c>
      <x:c r="U40" s="26" t="str">
        <x:v>confirmed</x:v>
      </x:c>
      <x:c r="V40" s="26" t="str">
        <x:v>https://www.openstreetmap.org/relation/2972711
https://nominatim.openstreetmap.org/search?q=%E8%8C%B6%E9%99%B5%E5%8E%BF%2C+%E6%A0%AA%E6%B4%B2%E5%B8%82%2C+%E6%B9%96%E5%8D%97%E7%9C%81%2C+%E4%B8%AD%E5%9B%BD&amp;format=jsonv2&amp;polygon_geojson=1&amp;polygon_threshold=0.001&amp;addressdetails=1&amp;limit=5&amp;countrycodes=cn&amp;accept-language=zh-CN</x:v>
      </x:c>
      <x:c r="W40" s="26" t="str">
        <x:v>https://chgis.hudci.org/tgaz/placename/hvd_41774</x:v>
      </x:c>
      <x:c r="X40" s="26" t="str">
        <x:v>只作下一階段候選點的bbox→polygon限制；非法律界線。邊界經0.001°拓撲保留簡化；近界候選建議加0.01° buffer。</x:v>
      </x:c>
    </x:row>
  </x:sheetData>
  <x:mergeCells>
    <x:mergeCell ref="A1:X1"/>
    <x:mergeCell ref="A2:X2"/>
    <x:mergeCell ref="A3:X3"/>
    <x:mergeCell ref="A4:X4"/>
  </x:mergeCells>
  <x:pageMargins left="0.7" right="0.7" top="0.75" bottom="0.75" header="0.3" footer="0.3"/>
  <x:tableParts count="1">
    <x:tablePart xmlns:r="http://schemas.openxmlformats.org/officeDocument/2006/relationships" r:id="R2933b9a860af4f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4.4399995803833" hidden="0" customWidth="1"/>
    <x:col min="3" max="3" width="14.4399995803833" hidden="0" customWidth="1"/>
    <x:col min="4" max="4" width="16.110000610351562" hidden="0" customWidth="1"/>
    <x:col min="5" max="5" width="16.110000610351562" hidden="0" customWidth="1"/>
    <x:col min="6" max="6" width="51.11000061035156" hidden="0" customWidth="1"/>
    <x:col min="7" max="7" width="27.780000686645508" hidden="0" customWidth="1"/>
    <x:col min="8" max="8" width="27.780000686645508" hidden="0" customWidth="1"/>
    <x:col min="9" max="9" width="27.780000686645508" hidden="0" customWidth="1"/>
    <x:col min="10" max="10" width="27.780000686645508" hidden="0" customWidth="1"/>
    <x:col min="11" max="11" width="27.780000686645508" hidden="0" customWidth="1"/>
    <x:col min="12" max="12" width="27.780000686645508" hidden="0" customWidth="1"/>
    <x:col min="13" max="13" width="27.780000686645508" hidden="0" customWidth="1"/>
    <x:col min="14" max="14" width="27.780000686645508" hidden="0" customWidth="1"/>
    <x:col min="15" max="15" width="27.780000686645508" hidden="0" customWidth="1"/>
    <x:col min="16" max="16" width="27.780000686645508" hidden="0" customWidth="1"/>
    <x:col min="17" max="17" width="27.780000686645508" hidden="0" customWidth="1"/>
    <x:col min="18" max="18" width="27.780000686645508" hidden="0" customWidth="1"/>
    <x:col min="19" max="19" width="27.780000686645508" hidden="0" customWidth="1"/>
    <x:col min="20" max="20" width="27.780000686645508" hidden="0" customWidth="1"/>
    <x:col min="21" max="21" width="27.780000686645508" hidden="0" customWidth="1"/>
    <x:col min="22" max="22" width="27.780000686645508" hidden="0" customWidth="1"/>
    <x:col min="23" max="23" width="27.780000686645508" hidden="0" customWidth="1"/>
    <x:col min="24" max="24" width="13.890000343322754" hidden="0" customWidth="1"/>
    <x:col min="25" max="25" width="12.220000267028809" hidden="0" customWidth="1"/>
    <x:col min="26" max="26" width="13.890000343322754" hidden="0" customWidth="1"/>
    <x:col min="27" max="27" width="16.110000610351562" hidden="0" customWidth="1"/>
    <x:col min="28" max="28" width="16.110000610351562" hidden="0" customWidth="1"/>
    <x:col min="29" max="29" width="27.780000686645508" hidden="0" customWidth="1"/>
    <x:col min="30" max="30" width="27.780000686645508" hidden="0" customWidth="1"/>
    <x:col min="31" max="31" width="16.110000610351562" hidden="0" customWidth="1"/>
    <x:col min="32" max="32" width="16.110000610351562" hidden="0" customWidth="1"/>
    <x:col min="33" max="33" width="12.220000267028809" hidden="0" customWidth="1"/>
    <x:col min="34" max="34" width="27.780000686645508" hidden="0" customWidth="1"/>
    <x:col min="35" max="35" width="27.780000686645508" hidden="0" customWidth="1"/>
    <x:col min="36" max="36" width="13.890000343322754" hidden="0" customWidth="1"/>
    <x:col min="37" max="37" width="27.780000686645508" hidden="0" customWidth="1"/>
    <x:col min="38" max="38" width="13.890000343322754" hidden="0" customWidth="1"/>
    <x:col min="39" max="39" width="13.890000343322754" hidden="0" customWidth="1"/>
    <x:col min="40" max="40" width="12.220000267028809" hidden="0" customWidth="1"/>
    <x:col min="41" max="41" width="16.110000610351562" hidden="0" customWidth="1"/>
    <x:col min="42" max="42" width="16.110000610351562" hidden="0" customWidth="1"/>
    <x:col min="43" max="43" width="27.780000686645508" hidden="0" customWidth="1"/>
    <x:col min="44" max="44" width="27.780000686645508" hidden="0" customWidth="1"/>
    <x:col min="45" max="45" width="27.780000686645508" hidden="0" customWidth="1"/>
    <x:col min="46" max="46" width="16.110000610351562" hidden="0" customWidth="1"/>
    <x:col min="47" max="47" width="13.890000343322754" hidden="0" customWidth="1"/>
    <x:col min="48" max="48" width="13.890000343322754" hidden="0" customWidth="1"/>
    <x:col min="49" max="49" width="13.890000343322754" hidden="0" customWidth="1"/>
    <x:col min="50" max="50" width="13.890000343322754" hidden="0" customWidth="1"/>
    <x:col min="51" max="51" width="27.780000686645508" hidden="0" customWidth="1"/>
    <x:col min="52" max="52" width="27.780000686645508" hidden="0" customWidth="1"/>
  </x:cols>
  <x:sheetData>
    <x:row r="1" ht="25.5" customHeight="1">
      <x:c r="A1" s="226" t="str">
        <x:v>江右游日記二十三日｜步驟五：經緯度及資料來源（精簡版）</x:v>
      </x:c>
      <x:c r="B1" s="226"/>
      <x:c r="C1" s="226"/>
      <x:c r="D1" s="226"/>
      <x:c r="E1" s="226"/>
      <x:c r="F1" s="226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  <x:row r="2" ht="45" customHeight="1">
      <x:c r="A2" s="233" t="str">
        <x:v>精簡版步驟五：只保留地點識別、經度、緯度及統一資料來源。各資料 API 的查詢結果已合併在「資料來源」欄，不再分開顯示 API 欄位。空白經緯度代表本輪沒有可通過限制並可追溯的座標。</x:v>
      </x:c>
      <x:c r="B2" s="233"/>
      <x:c r="C2" s="233"/>
      <x:c r="D2" s="233"/>
      <x:c r="E2" s="233"/>
      <x:c r="F2" s="233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 ht="18.75" customHeight="1">
      <x:c r="A3" s="237" t="str">
        <x:v>Prompt｜本步驟獨立操作指令</x:v>
      </x:c>
      <x:c r="B3" s="237"/>
      <x:c r="C3" s="237"/>
      <x:c r="D3" s="237"/>
      <x:c r="E3" s="237"/>
      <x:c r="F3" s="237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 ht="61.5" customHeight="1">
      <x:c r="A4" s="241" t="str">
        <x:v>請在指定經緯度範圍內以 CHGIS/TGAZ、Wikidata、OpenStreetMap/Nominatim、Amap 及 Google Maps 交叉核查候選；只輸出序號、日期、地名、經度_WGS84、緯度_WGS84、資料來源。若沒有通過名稱、年代、行政區、地物類型及範圍限制的座標，經緯度留空，資料來源寫明查詢來源及未採用原因，不分開建立各 API 欄位。</x:v>
      </x:c>
      <x:c r="B4" s="241"/>
      <x:c r="C4" s="241"/>
      <x:c r="D4" s="241"/>
      <x:c r="E4" s="241"/>
      <x:c r="F4" s="241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6" ht="31.5" customHeight="1">
      <x:c r="A6" s="245" t="str">
        <x:v>序號</x:v>
      </x:c>
      <x:c r="B6" s="245" t="str">
        <x:v>日期</x:v>
      </x:c>
      <x:c r="C6" s="245" t="str">
        <x:v>地名</x:v>
      </x:c>
      <x:c r="D6" s="245" t="str">
        <x:v>經度_WGS84</x:v>
      </x:c>
      <x:c r="E6" s="245" t="str">
        <x:v>緯度_WGS84</x:v>
      </x:c>
      <x:c r="F6" s="245" t="str">
        <x:v>資料來源</x:v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 ht="43.5" customHeight="1">
      <x:c r="A7" s="104" t="n">
        <x:v>185</x:v>
      </x:c>
      <x:c r="B7" s="104" t="str">
        <x:v>二十三日</x:v>
      </x:c>
      <x:c r="C7" s="104" t="str">
        <x:v>张真人墓</x:v>
      </x:c>
      <x:c r="D7" s="104"/>
      <x:c r="E7" s="104"/>
      <x:c r="F7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 ht="43.5" customHeight="1">
      <x:c r="A8" s="104" t="n">
        <x:v>186</x:v>
      </x:c>
      <x:c r="B8" s="104" t="str">
        <x:v>二十三日</x:v>
      </x:c>
      <x:c r="C8" s="104" t="str">
        <x:v>五面峰</x:v>
      </x:c>
      <x:c r="D8" s="104"/>
      <x:c r="E8" s="104"/>
      <x:c r="F8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 ht="43.5" customHeight="1">
      <x:c r="A9" s="104" t="n">
        <x:v>191</x:v>
      </x:c>
      <x:c r="B9" s="104" t="str">
        <x:v>二十三日</x:v>
      </x:c>
      <x:c r="C9" s="104" t="str">
        <x:v>五面峰</x:v>
      </x:c>
      <x:c r="D9" s="104"/>
      <x:c r="E9" s="104"/>
      <x:c r="F9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 ht="43.5" customHeight="1">
      <x:c r="A10" s="104" t="n">
        <x:v>192</x:v>
      </x:c>
      <x:c r="B10" s="104" t="str">
        <x:v>二十三日</x:v>
      </x:c>
      <x:c r="C10" s="104" t="str">
        <x:v>西华</x:v>
      </x:c>
      <x:c r="D10" s="104"/>
      <x:c r="E10" s="104"/>
      <x:c r="F10" s="104" t="str">
        <x:v>未取得可採用座標；查詢來源：CHGIS/TGAZ、OpenStreetMap/Nominatim、Wikidata；Amap／Google Maps僅公開搜尋頁；有原始候選，但未同時通過名稱、類型及限制範圍；不得採用其座標。</x:v>
      </x:c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 ht="43.5" customHeight="1">
      <x:c r="A11" s="104" t="n">
        <x:v>196</x:v>
      </x:c>
      <x:c r="B11" s="104" t="str">
        <x:v>二十三日</x:v>
      </x:c>
      <x:c r="C11" s="104" t="str">
        <x:v>西华</x:v>
      </x:c>
      <x:c r="D11" s="104"/>
      <x:c r="E11" s="104"/>
      <x:c r="F11" s="104" t="str">
        <x:v>未取得可採用座標；查詢來源：CHGIS/TGAZ、OpenStreetMap/Nominatim、Wikidata；Amap／Google Maps僅公開搜尋頁；有原始候選，但未同時通過名稱、類型及限制範圍；不得採用其座標。</x:v>
      </x:c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 ht="43.5" customHeight="1">
      <x:c r="A12" s="104" t="n">
        <x:v>198</x:v>
      </x:c>
      <x:c r="B12" s="104" t="str">
        <x:v>二十三日</x:v>
      </x:c>
      <x:c r="C12" s="104" t="str">
        <x:v>小隐岩</x:v>
      </x:c>
      <x:c r="D12" s="104"/>
      <x:c r="E12" s="104"/>
      <x:c r="F12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 ht="43.5" customHeight="1">
      <x:c r="A13" s="104" t="n">
        <x:v>212</x:v>
      </x:c>
      <x:c r="B13" s="104" t="str">
        <x:v>二十三日</x:v>
      </x:c>
      <x:c r="C13" s="104" t="str">
        <x:v>朝真宫</x:v>
      </x:c>
      <x:c r="D13" s="104"/>
      <x:c r="E13" s="104"/>
      <x:c r="F13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 ht="43.5" customHeight="1">
      <x:c r="A14" s="104" t="n">
        <x:v>626</x:v>
      </x:c>
      <x:c r="B14" s="104" t="str">
        <x:v>二十三日</x:v>
      </x:c>
      <x:c r="C14" s="104" t="str">
        <x:v>大霍岭</x:v>
      </x:c>
      <x:c r="D14" s="104"/>
      <x:c r="E14" s="104"/>
      <x:c r="F14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 ht="43.5" customHeight="1">
      <x:c r="A15" s="104" t="n">
        <x:v>627</x:v>
      </x:c>
      <x:c r="B15" s="104" t="str">
        <x:v>二十三日</x:v>
      </x:c>
      <x:c r="C15" s="104" t="str">
        <x:v>龙骨山</x:v>
      </x:c>
      <x:c r="D15" s="104"/>
      <x:c r="E15" s="104"/>
      <x:c r="F15" s="104" t="str">
        <x:v>未取得可採用座標；查詢來源：CHGIS/TGAZ、OpenStreetMap/Nominatim、Wikidata；Amap／Google Maps僅公開搜尋頁；有原始候選，但未同時通過名稱、類型及限制範圍；不得採用其座標。</x:v>
      </x:c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 ht="43.5" customHeight="1">
      <x:c r="A16" s="104" t="n">
        <x:v>628</x:v>
      </x:c>
      <x:c r="B16" s="104" t="str">
        <x:v>二十三日</x:v>
      </x:c>
      <x:c r="C16" s="104" t="str">
        <x:v>骨岭</x:v>
      </x:c>
      <x:c r="D16" s="104"/>
      <x:c r="E16" s="104"/>
      <x:c r="F16" s="104" t="str">
        <x:v>未取得可採用座標；查詢來源：CHGIS/TGAZ、OpenStreetMap/Nominatim、Wikidata；Amap／Google Maps僅公開搜尋頁；有原始候選，但未同時通過名稱、類型及限制範圍；不得採用其座標。</x:v>
      </x:c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 ht="43.5" customHeight="1">
      <x:c r="A17" s="104" t="n">
        <x:v>629</x:v>
      </x:c>
      <x:c r="B17" s="104" t="str">
        <x:v>二十三日</x:v>
      </x:c>
      <x:c r="C17" s="104" t="str">
        <x:v>幞头岭</x:v>
      </x:c>
      <x:c r="D17" s="104"/>
      <x:c r="E17" s="104"/>
      <x:c r="F17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 ht="43.5" customHeight="1">
      <x:c r="A18" s="104" t="n">
        <x:v>630</x:v>
      </x:c>
      <x:c r="B18" s="104" t="str">
        <x:v>二十三日</x:v>
      </x:c>
      <x:c r="C18" s="104" t="str">
        <x:v>纯乡</x:v>
      </x:c>
      <x:c r="D18" s="104"/>
      <x:c r="E18" s="104"/>
      <x:c r="F18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 ht="43.5" customHeight="1">
      <x:c r="A19" s="104" t="n">
        <x:v>631</x:v>
      </x:c>
      <x:c r="B19" s="104" t="str">
        <x:v>二十三日</x:v>
      </x:c>
      <x:c r="C19" s="104" t="str">
        <x:v>纯乡村</x:v>
      </x:c>
      <x:c r="D19" s="104"/>
      <x:c r="E19" s="104"/>
      <x:c r="F19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 ht="43.5" customHeight="1">
      <x:c r="A20" s="104" t="n">
        <x:v>633</x:v>
      </x:c>
      <x:c r="B20" s="104" t="str">
        <x:v>二十三日</x:v>
      </x:c>
      <x:c r="C20" s="104" t="str">
        <x:v>干冈岭</x:v>
      </x:c>
      <x:c r="D20" s="104"/>
      <x:c r="E20" s="104"/>
      <x:c r="F20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 ht="43.5" customHeight="1">
      <x:c r="A21" s="104" t="n">
        <x:v>636</x:v>
      </x:c>
      <x:c r="B21" s="104" t="str">
        <x:v>二十三日</x:v>
      </x:c>
      <x:c r="C21" s="104" t="str">
        <x:v>巴溪</x:v>
      </x:c>
      <x:c r="D21" s="104"/>
      <x:c r="E21" s="104"/>
      <x:c r="F21" s="104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 ht="43.5" customHeight="1">
      <x:c r="A22" s="26" t="n">
        <x:v>650</x:v>
      </x:c>
      <x:c r="B22" s="26" t="str">
        <x:v>二十三日</x:v>
      </x:c>
      <x:c r="C22" s="26" t="str">
        <x:v>朱碧街</x:v>
      </x:c>
      <x:c r="D22" s="26"/>
      <x:c r="E22" s="26"/>
      <x:c r="F22" s="26" t="str">
        <x:v>未取得可採用座標；查詢來源：CHGIS/TGAZ、OpenStreetMap/Nominatim、Wikidata；Amap／Google Maps僅公開搜尋頁；OSM及Wikidata均無可核驗候選；Amap／Google Maps只保留搜尋連結，未取得可追溯點位。</x:v>
      </x:c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  <x:tableParts count="1">
    <x:tablePart xmlns:r="http://schemas.openxmlformats.org/officeDocument/2006/relationships" r:id="R80eaed1bd7a947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6.110000610351562" hidden="0" customWidth="1"/>
    <x:col min="6" max="6" width="16.110000610351562" hidden="0" customWidth="1"/>
    <x:col min="7" max="7" width="28.889999389648438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28.889999389648438" hidden="0" customWidth="1"/>
    <x:col min="14" max="14" width="12.220000267028809" hidden="0" customWidth="1"/>
    <x:col min="15" max="15" width="16.110000610351562" hidden="0" customWidth="1"/>
    <x:col min="16" max="16" width="12.220000267028809" hidden="0" customWidth="1"/>
    <x:col min="17" max="17" width="16.110000610351562" hidden="0" customWidth="1"/>
    <x:col min="18" max="18" width="12.220000267028809" hidden="0" customWidth="1"/>
    <x:col min="19" max="19" width="12.220000267028809" hidden="0" customWidth="1"/>
    <x:col min="20" max="20" width="28.889999389648438" hidden="0" customWidth="1"/>
    <x:col min="21" max="21" width="12.220000267028809" hidden="0" customWidth="1"/>
    <x:col min="22" max="22" width="13.329999923706055" hidden="0" customWidth="1"/>
    <x:col min="23" max="23" width="16.110000610351562" hidden="0" customWidth="1"/>
    <x:col min="24" max="24" width="16.110000610351562" hidden="0" customWidth="1"/>
    <x:col min="25" max="25" width="28.889999389648438" hidden="0" customWidth="1"/>
    <x:col min="26" max="26" width="28.889999389648438" hidden="0" customWidth="1"/>
    <x:col min="27" max="27" width="16.110000610351562" hidden="0" customWidth="1"/>
    <x:col min="28" max="28" width="28.889999389648438" hidden="0" customWidth="1"/>
  </x:cols>
  <x:sheetData>
    <x:row r="1" ht="24" customHeight="1">
      <x:c r="A1" s="66" t="str">
        <x:v>江右游日記二十三日｜步驟六：地方志推算經緯度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</x:row>
    <x:row r="2" ht="31.5" customHeight="1">
      <x:c r="A2" s="183" t="str">
        <x:v>二十三日結果｜推算中心點 15 筆｜地方志直接配對只有 4 筆；其餘為原文／母地物／走廊綜合推算，全部 pending/review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  <x:c r="AA2" s="183"/>
      <x:c r="AB2" s="183"/>
    </x:row>
    <x:row r="3" ht="18.75" customHeight="1">
      <x:c r="A3" s="12" t="str">
        <x:v>Prompt｜本步驟獨立操作指令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</x:row>
    <x:row r="4" ht="78.75" customHeight="1">
      <x:c r="A4" s="16" t="str">
        <x:v>請用地方志的參照地點、方向、里程及母地物描述推算二十三日尚未定位地點的中心點。將結果限制在行政 polygon／走廊交集，輸出中心經緯度、誤差半徑、參照點、推算方法及證據狀態，並明確標示為 pending/review。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  <x:c r="AA4" s="16"/>
      <x:c r="AB4" s="16"/>
    </x:row>
    <x:row r="6" ht="36" customHeight="1">
      <x:c r="A6" s="70" t="str">
        <x:v>序號</x:v>
      </x:c>
      <x:c r="B6" s="70" t="str">
        <x:v>日期</x:v>
      </x:c>
      <x:c r="C6" s="70" t="str">
        <x:v>地名</x:v>
      </x:c>
      <x:c r="D6" s="70" t="str">
        <x:v>類別</x:v>
      </x:c>
      <x:c r="E6" s="70" t="str">
        <x:v>細分類</x:v>
      </x:c>
      <x:c r="F6" s="70" t="str">
        <x:v>行程</x:v>
      </x:c>
      <x:c r="G6" s="70" t="str">
        <x:v>原文</x:v>
      </x:c>
      <x:c r="H6" s="70" t="str">
        <x:v>舊經度</x:v>
      </x:c>
      <x:c r="I6" s="70" t="str">
        <x:v>舊緯度</x:v>
      </x:c>
      <x:c r="J6" s="70" t="str">
        <x:v>舊誤差半徑_m</x:v>
      </x:c>
      <x:c r="K6" s="70" t="str">
        <x:v>新經度_WGS84</x:v>
      </x:c>
      <x:c r="L6" s="70" t="str">
        <x:v>新緯度_WGS84</x:v>
      </x:c>
      <x:c r="M6" s="70" t="str">
        <x:v>POINT_WKT</x:v>
      </x:c>
      <x:c r="N6" s="70" t="str">
        <x:v>新誤差半徑_m</x:v>
      </x:c>
      <x:c r="O6" s="70" t="str">
        <x:v>位移_m</x:v>
      </x:c>
      <x:c r="P6" s="70" t="str">
        <x:v>輔助節點數</x:v>
      </x:c>
      <x:c r="Q6" s="70" t="str">
        <x:v>中間輔助節點</x:v>
      </x:c>
      <x:c r="R6" s="70" t="str">
        <x:v>路徑走廊段數</x:v>
      </x:c>
      <x:c r="S6" s="70" t="str">
        <x:v>走廊寬度_m</x:v>
      </x:c>
      <x:c r="T6" s="70" t="str">
        <x:v>重算方法</x:v>
      </x:c>
      <x:c r="U6" s="70" t="str">
        <x:v>證據分數</x:v>
      </x:c>
      <x:c r="V6" s="70" t="str">
        <x:v>confidence</x:v>
      </x:c>
      <x:c r="W6" s="70" t="str">
        <x:v>coordinate_status</x:v>
      </x:c>
      <x:c r="X6" s="70" t="str">
        <x:v>gis_decision</x:v>
      </x:c>
      <x:c r="Y6" s="70" t="str">
        <x:v>主要來源</x:v>
      </x:c>
      <x:c r="Z6" s="70" t="str">
        <x:v>第二來源</x:v>
      </x:c>
      <x:c r="AA6" s="70" t="str">
        <x:v>route_use</x:v>
      </x:c>
      <x:c r="AB6" s="70" t="str">
        <x:v>六步重算限制</x:v>
      </x:c>
    </x:row>
    <x:row r="7" ht="58.5" customHeight="1">
      <x:c r="A7" s="25" t="n">
        <x:v>185</x:v>
      </x:c>
      <x:c r="B7" s="25" t="str">
        <x:v>二十三日</x:v>
      </x:c>
      <x:c r="C7" s="25" t="str">
        <x:v>张真人墓</x:v>
      </x:c>
      <x:c r="D7" s="25" t="str">
        <x:v>歷史遺址</x:v>
      </x:c>
      <x:c r="E7" s="25" t="str">
        <x:v>墓葬／陵墓</x:v>
      </x:c>
      <x:c r="F7" s="25" t="str">
        <x:v>經過</x:v>
      </x:c>
      <x:c r="G7" s="27" t="str">
        <x:v>于是南经张真人墓。</x:v>
      </x:c>
      <x:c r="H7" s="53" t="n">
        <x:v>117.21056335941523</x:v>
      </x:c>
      <x:c r="I7" s="53" t="n">
        <x:v>28.273321752361458</x:v>
      </x:c>
      <x:c r="J7" s="25" t="n">
        <x:v>2000</x:v>
      </x:c>
      <x:c r="K7" s="53" t="n">
        <x:v>117.21056349002849</x:v>
      </x:c>
      <x:c r="L7" s="53" t="n">
        <x:v>28.27332159307314</x:v>
      </x:c>
      <x:c r="M7" s="27" t="str">
        <x:v>POINT(117.210563 28.273322)</x:v>
      </x:c>
      <x:c r="N7" s="25" t="n">
        <x:v>1800</x:v>
      </x:c>
      <x:c r="O7" s="25" t="n">
        <x:v>0</x:v>
      </x:c>
      <x:c r="P7" s="25" t="n">
        <x:v>3</x:v>
      </x:c>
      <x:c r="Q7" s="25" t="str">
        <x:v>象山／三峰山；五面峰／一線天母地物；徐岩／朝真宮</x:v>
      </x:c>
      <x:c r="R7" s="25" t="n">
        <x:v>2</x:v>
      </x:c>
      <x:c r="S7" s="25" t="n">
        <x:v>1700</x:v>
      </x:c>
      <x:c r="T7" s="25" t="str">
        <x:v>三峰山／徐岩母地物＋象山—五面峰次序</x:v>
      </x:c>
      <x:c r="U7" s="25" t="n">
        <x:v>60</x:v>
      </x:c>
      <x:c r="V7" s="25" t="str">
        <x:v>中低</x:v>
      </x:c>
      <x:c r="W7" s="25" t="str">
        <x:v>estimated_parent_area_with_anchor</x:v>
      </x:c>
      <x:c r="X7" s="25" t="str">
        <x:v>pending/review</x:v>
      </x:c>
      <x:c r="Y7" s="25" t="str">
        <x:v>https://www.amap.com/place/B0KG0DFDHG</x:v>
      </x:c>
      <x:c r="Z7" s="25" t="str">
        <x:v>https://www.gushiji.org/guwen/5341</x:v>
      </x:c>
      <x:c r="AA7" s="25" t="str">
        <x:v>可作文章次序及方向示意；需配合走廊及誤差範圍</x:v>
      </x:c>
      <x:c r="AB7" s="25" t="str">
        <x:v>墓址仍未有獨立座標，誤差圈縮至母地物內。 輔助節點只作route_auxiliary；不混入正式地標點層。</x:v>
      </x:c>
    </x:row>
    <x:row r="8" ht="58.5" customHeight="1">
      <x:c r="A8" s="25" t="n">
        <x:v>190</x:v>
      </x:c>
      <x:c r="B8" s="25" t="str">
        <x:v>二十三日</x:v>
      </x:c>
      <x:c r="C8" s="25" t="str">
        <x:v>一线天</x:v>
      </x:c>
      <x:c r="D8" s="25" t="str">
        <x:v>自然地理</x:v>
      </x:c>
      <x:c r="E8" s="25" t="str">
        <x:v>峽谷</x:v>
      </x:c>
      <x:c r="F8" s="25" t="str">
        <x:v>經過</x:v>
      </x:c>
      <x:c r="G8" s="27" t="str">
        <x:v>余意南下者为一线天，西上者为五面峰也。</x:v>
      </x:c>
      <x:c r="H8" s="53" t="n">
        <x:v>117.20084154816033</x:v>
      </x:c>
      <x:c r="I8" s="53" t="n">
        <x:v>28.268869965021054</x:v>
      </x:c>
      <x:c r="J8" s="25" t="n">
        <x:v>1100</x:v>
      </x:c>
      <x:c r="K8" s="53" t="n">
        <x:v>117.20084167878814</x:v>
      </x:c>
      <x:c r="L8" s="53" t="n">
        <x:v>28.268869805732734</x:v>
      </x:c>
      <x:c r="M8" s="27" t="str">
        <x:v>POINT(117.200842 28.268870)</x:v>
      </x:c>
      <x:c r="N8" s="25" t="n">
        <x:v>900</x:v>
      </x:c>
      <x:c r="O8" s="25" t="n">
        <x:v>0</x:v>
      </x:c>
      <x:c r="P8" s="25" t="n">
        <x:v>2</x:v>
      </x:c>
      <x:c r="Q8" s="25" t="str">
        <x:v>象山／三峰山；五面峰／一線天母地物</x:v>
      </x:c>
      <x:c r="R8" s="25" t="n">
        <x:v>2</x:v>
      </x:c>
      <x:c r="S8" s="25" t="n">
        <x:v>1400</x:v>
      </x:c>
      <x:c r="T8" s="25" t="str">
        <x:v>五面峰下「一線天」＋地方志峽縫描述</x:v>
      </x:c>
      <x:c r="U8" s="25" t="n">
        <x:v>63</x:v>
      </x:c>
      <x:c r="V8" s="25" t="str">
        <x:v>中低</x:v>
      </x:c>
      <x:c r="W8" s="25" t="str">
        <x:v>estimated_parent_feature_with_gazetteer</x:v>
      </x:c>
      <x:c r="X8" s="25" t="str">
        <x:v>pending/review</x:v>
      </x:c>
      <x:c r="Y8" s="25" t="str">
        <x:v>https://www.shidianguji.com/book/HY2516/chapter/1kpc9d09e5vdm</x:v>
      </x:c>
      <x:c r="Z8" s="25" t="str">
        <x:v>https://www.gushiji.org/guwen/5341</x:v>
      </x:c>
      <x:c r="AA8" s="25" t="str">
        <x:v>可作文章次序及方向示意；需配合走廊及誤差範圍</x:v>
      </x:c>
      <x:c r="AB8" s="25" t="str">
        <x:v>母地物內部景觀，仍非獨立洞口測量點。 輔助節點只作route_auxiliary；不混入正式地標點層。</x:v>
      </x:c>
    </x:row>
    <x:row r="9" ht="58.5" customHeight="1">
      <x:c r="A9" s="25" t="n">
        <x:v>192</x:v>
      </x:c>
      <x:c r="B9" s="25" t="str">
        <x:v>二十三日</x:v>
      </x:c>
      <x:c r="C9" s="25" t="str">
        <x:v>西华</x:v>
      </x:c>
      <x:c r="D9" s="25" t="str">
        <x:v>自然地理</x:v>
      </x:c>
      <x:c r="E9" s="25" t="str">
        <x:v>山岳</x:v>
      </x:c>
      <x:c r="F9" s="25" t="str">
        <x:v>經過</x:v>
      </x:c>
      <x:c r="G9" s="27" t="str">
        <x:v>先跻峰，攀磴里许而至绝顶，则南瞰西华，东瞰夹壁，西瞰南溪，北瞰城邑，皆在指顾。</x:v>
      </x:c>
      <x:c r="H9" s="53" t="n">
        <x:v>117.19939748940007</x:v>
      </x:c>
      <x:c r="I9" s="53" t="n">
        <x:v>28.26564519739441</x:v>
      </x:c>
      <x:c r="J9" s="25" t="n">
        <x:v>1300</x:v>
      </x:c>
      <x:c r="K9" s="53" t="n">
        <x:v>117.19939762003003</x:v>
      </x:c>
      <x:c r="L9" s="53" t="n">
        <x:v>28.265645038106094</x:v>
      </x:c>
      <x:c r="M9" s="27" t="str">
        <x:v>POINT(117.199398 28.265645)</x:v>
      </x:c>
      <x:c r="N9" s="25" t="n">
        <x:v>1100</x:v>
      </x:c>
      <x:c r="O9" s="25" t="n">
        <x:v>0</x:v>
      </x:c>
      <x:c r="P9" s="25" t="n">
        <x:v>1</x:v>
      </x:c>
      <x:c r="Q9" s="25" t="str">
        <x:v>五面峰／一線天母地物</x:v>
      </x:c>
      <x:c r="R9" s="25" t="n">
        <x:v>2</x:v>
      </x:c>
      <x:c r="S9" s="25" t="n">
        <x:v>1400</x:v>
      </x:c>
      <x:c r="T9" s="25" t="str">
        <x:v>五面峰南一里＋龍虎山志山系關係</x:v>
      </x:c>
      <x:c r="U9" s="25" t="n">
        <x:v>64</x:v>
      </x:c>
      <x:c r="V9" s="25" t="str">
        <x:v>中低</x:v>
      </x:c>
      <x:c r="W9" s="25" t="str">
        <x:v>estimated_route_distance_with_gazetteer</x:v>
      </x:c>
      <x:c r="X9" s="25" t="str">
        <x:v>pending/review</x:v>
      </x:c>
      <x:c r="Y9" s="25" t="str">
        <x:v>https://www.shidianguji.com/book/HY2516/chapter/1kpc9d09e5vdm</x:v>
      </x:c>
      <x:c r="Z9" s="25" t="str">
        <x:v>https://www.gushiji.org/guwen/5341</x:v>
      </x:c>
      <x:c r="AA9" s="25" t="str">
        <x:v>可作文章次序及方向示意；需配合走廊及誤差範圍</x:v>
      </x:c>
      <x:c r="AB9" s="25" t="str">
        <x:v>西華無唯一現代POI，保留南向距離。 輔助節點只作route_auxiliary；不混入正式地標點層。</x:v>
      </x:c>
    </x:row>
    <x:row r="10" ht="58.5" customHeight="1">
      <x:c r="A10" s="25" t="n">
        <x:v>195</x:v>
      </x:c>
      <x:c r="B10" s="25" t="str">
        <x:v>二十三日</x:v>
      </x:c>
      <x:c r="C10" s="25" t="str">
        <x:v>一线天</x:v>
      </x:c>
      <x:c r="D10" s="25" t="str">
        <x:v>自然地理</x:v>
      </x:c>
      <x:c r="E10" s="25" t="str">
        <x:v>峽谷</x:v>
      </x:c>
      <x:c r="F10" s="25" t="str">
        <x:v>經過</x:v>
      </x:c>
      <x:c r="G10" s="27" t="str">
        <x:v>复从前磴南下一线天，则两崖并夹而上，直南即从峰顶下剖者，是为直峡。</x:v>
      </x:c>
      <x:c r="H10" s="53" t="n">
        <x:v>117.20084154816033</x:v>
      </x:c>
      <x:c r="I10" s="53" t="n">
        <x:v>28.268869965021054</x:v>
      </x:c>
      <x:c r="J10" s="25" t="n">
        <x:v>1100</x:v>
      </x:c>
      <x:c r="K10" s="53" t="n">
        <x:v>117.20084167878814</x:v>
      </x:c>
      <x:c r="L10" s="53" t="n">
        <x:v>28.268869805732734</x:v>
      </x:c>
      <x:c r="M10" s="27" t="str">
        <x:v>POINT(117.200842 28.268870)</x:v>
      </x:c>
      <x:c r="N10" s="25" t="n">
        <x:v>900</x:v>
      </x:c>
      <x:c r="O10" s="25" t="n">
        <x:v>0</x:v>
      </x:c>
      <x:c r="P10" s="25" t="n">
        <x:v>1</x:v>
      </x:c>
      <x:c r="Q10" s="25" t="str">
        <x:v>五面峰／一線天母地物</x:v>
      </x:c>
      <x:c r="R10" s="25" t="n">
        <x:v>2</x:v>
      </x:c>
      <x:c r="S10" s="25" t="n">
        <x:v>1400</x:v>
      </x:c>
      <x:c r="T10" s="25" t="str">
        <x:v>五面峰下「一線天」＋地方志峽縫描述</x:v>
      </x:c>
      <x:c r="U10" s="25" t="n">
        <x:v>63</x:v>
      </x:c>
      <x:c r="V10" s="25" t="str">
        <x:v>中低</x:v>
      </x:c>
      <x:c r="W10" s="25" t="str">
        <x:v>estimated_parent_feature_with_gazetteer</x:v>
      </x:c>
      <x:c r="X10" s="25" t="str">
        <x:v>pending/review</x:v>
      </x:c>
      <x:c r="Y10" s="25" t="str">
        <x:v>https://www.shidianguji.com/book/HY2516/chapter/1kpc9d09e5vdm</x:v>
      </x:c>
      <x:c r="Z10" s="25" t="str">
        <x:v>https://www.gushiji.org/guwen/5341</x:v>
      </x:c>
      <x:c r="AA10" s="25" t="str">
        <x:v>可作文章次序及方向示意；需配合走廊及誤差範圍</x:v>
      </x:c>
      <x:c r="AB10" s="25" t="str">
        <x:v>同190，屬文章重複記錄。 輔助節點只作route_auxiliary；不混入正式地標點層。</x:v>
      </x:c>
    </x:row>
    <x:row r="11" ht="58.5" customHeight="1">
      <x:c r="A11" s="25" t="n">
        <x:v>196</x:v>
      </x:c>
      <x:c r="B11" s="25" t="str">
        <x:v>二十三日</x:v>
      </x:c>
      <x:c r="C11" s="25" t="str">
        <x:v>西华</x:v>
      </x:c>
      <x:c r="D11" s="25" t="str">
        <x:v>自然地理</x:v>
      </x:c>
      <x:c r="E11" s="25" t="str">
        <x:v>山岳</x:v>
      </x:c>
      <x:c r="F11" s="25" t="str">
        <x:v>經過</x:v>
      </x:c>
      <x:c r="G11" s="27" t="str">
        <x:v>最南抵西华，以已从五面峰瞰视，遂不复登。</x:v>
      </x:c>
      <x:c r="H11" s="53" t="n">
        <x:v>117.19939748940007</x:v>
      </x:c>
      <x:c r="I11" s="53" t="n">
        <x:v>28.26564519739441</x:v>
      </x:c>
      <x:c r="J11" s="25" t="n">
        <x:v>1300</x:v>
      </x:c>
      <x:c r="K11" s="53" t="n">
        <x:v>117.19939762003003</x:v>
      </x:c>
      <x:c r="L11" s="53" t="n">
        <x:v>28.265645038106094</x:v>
      </x:c>
      <x:c r="M11" s="27" t="str">
        <x:v>POINT(117.199398 28.265645)</x:v>
      </x:c>
      <x:c r="N11" s="25" t="n">
        <x:v>1100</x:v>
      </x:c>
      <x:c r="O11" s="25" t="n">
        <x:v>0</x:v>
      </x:c>
      <x:c r="P11" s="25" t="n">
        <x:v>1</x:v>
      </x:c>
      <x:c r="Q11" s="25" t="str">
        <x:v>五面峰／一線天母地物</x:v>
      </x:c>
      <x:c r="R11" s="25" t="n">
        <x:v>2</x:v>
      </x:c>
      <x:c r="S11" s="25" t="n">
        <x:v>1400</x:v>
      </x:c>
      <x:c r="T11" s="25" t="str">
        <x:v>五面峰南一里＋龍虎山志山系關係</x:v>
      </x:c>
      <x:c r="U11" s="25" t="n">
        <x:v>64</x:v>
      </x:c>
      <x:c r="V11" s="25" t="str">
        <x:v>中低</x:v>
      </x:c>
      <x:c r="W11" s="25" t="str">
        <x:v>estimated_route_distance_with_gazetteer</x:v>
      </x:c>
      <x:c r="X11" s="25" t="str">
        <x:v>pending/review</x:v>
      </x:c>
      <x:c r="Y11" s="25" t="str">
        <x:v>https://www.shidianguji.com/book/HY2516/chapter/1kpc9d09e5vdm</x:v>
      </x:c>
      <x:c r="Z11" s="25" t="str">
        <x:v>https://www.gushiji.org/guwen/5341</x:v>
      </x:c>
      <x:c r="AA11" s="25" t="str">
        <x:v>可作文章次序及方向示意；需配合走廊及誤差範圍</x:v>
      </x:c>
      <x:c r="AB11" s="25" t="str">
        <x:v>同192，屬文章重複記錄。 輔助節點只作route_auxiliary；不混入正式地標點層。</x:v>
      </x:c>
    </x:row>
    <x:row r="12" ht="58.5" customHeight="1">
      <x:c r="A12" s="25" t="n">
        <x:v>197</x:v>
      </x:c>
      <x:c r="B12" s="25" t="str">
        <x:v>二十三日</x:v>
      </x:c>
      <x:c r="C12" s="25" t="str">
        <x:v>一线天</x:v>
      </x:c>
      <x:c r="D12" s="25" t="str">
        <x:v>自然地理</x:v>
      </x:c>
      <x:c r="E12" s="25" t="str">
        <x:v>峽谷</x:v>
      </x:c>
      <x:c r="F12" s="25" t="str">
        <x:v>經過</x:v>
      </x:c>
      <x:c r="G12" s="27" t="str">
        <x:v>仍转出一线天，北逾一岭，二里，转而东，入小隐岩。</x:v>
      </x:c>
      <x:c r="H12" s="53" t="n">
        <x:v>117.20084154816033</x:v>
      </x:c>
      <x:c r="I12" s="53" t="n">
        <x:v>28.268869965021054</x:v>
      </x:c>
      <x:c r="J12" s="25" t="n">
        <x:v>1100</x:v>
      </x:c>
      <x:c r="K12" s="53" t="n">
        <x:v>117.20084167878814</x:v>
      </x:c>
      <x:c r="L12" s="53" t="n">
        <x:v>28.268869805732734</x:v>
      </x:c>
      <x:c r="M12" s="27" t="str">
        <x:v>POINT(117.200842 28.268870)</x:v>
      </x:c>
      <x:c r="N12" s="25" t="n">
        <x:v>900</x:v>
      </x:c>
      <x:c r="O12" s="25" t="n">
        <x:v>0</x:v>
      </x:c>
      <x:c r="P12" s="25" t="n">
        <x:v>2</x:v>
      </x:c>
      <x:c r="Q12" s="25" t="str">
        <x:v>五面峰／一線天母地物；徐岩／朝真宮</x:v>
      </x:c>
      <x:c r="R12" s="25" t="n">
        <x:v>2</x:v>
      </x:c>
      <x:c r="S12" s="25" t="n">
        <x:v>1400</x:v>
      </x:c>
      <x:c r="T12" s="25" t="str">
        <x:v>一線天—小隱岩—徐岩／朝真宮母地物鏈</x:v>
      </x:c>
      <x:c r="U12" s="25" t="n">
        <x:v>63</x:v>
      </x:c>
      <x:c r="V12" s="25" t="str">
        <x:v>中低</x:v>
      </x:c>
      <x:c r="W12" s="25" t="str">
        <x:v>estimated_parent_feature_with_gazetteer</x:v>
      </x:c>
      <x:c r="X12" s="25" t="str">
        <x:v>pending/review</x:v>
      </x:c>
      <x:c r="Y12" s="25" t="str">
        <x:v>https://www.shidianguji.com/book/HY2516/chapter/1kpc9d09e5vdm</x:v>
      </x:c>
      <x:c r="Z12" s="25" t="str">
        <x:v>https://www.gushiji.org/guwen/5341</x:v>
      </x:c>
      <x:c r="AA12" s="25" t="str">
        <x:v>可作文章次序及方向示意；需配合走廊及誤差範圍</x:v>
      </x:c>
      <x:c r="AB12" s="25" t="str">
        <x:v>同名景觀多，僅作母地物內部搜尋中心。 輔助節點只作route_auxiliary；不混入正式地標點層。</x:v>
      </x:c>
    </x:row>
    <x:row r="13" ht="58.5" customHeight="1">
      <x:c r="A13" s="25" t="n">
        <x:v>626</x:v>
      </x:c>
      <x:c r="B13" s="25" t="str">
        <x:v>二十三日</x:v>
      </x:c>
      <x:c r="C13" s="25" t="str">
        <x:v>大霍岭</x:v>
      </x:c>
      <x:c r="D13" s="25" t="str">
        <x:v>自然地理</x:v>
      </x:c>
      <x:c r="E13" s="25" t="str">
        <x:v>山岳</x:v>
      </x:c>
      <x:c r="F13" s="25" t="str">
        <x:v>經過</x:v>
      </x:c>
      <x:c r="G13" s="27" t="str">
        <x:v>从此入山共三里，逾大霍岭，直逼龙骨山下。</x:v>
      </x:c>
      <x:c r="H13" s="53" t="n">
        <x:v>116.07415765697674</x:v>
      </x:c>
      <x:c r="I13" s="53" t="n">
        <x:v>27.54407813604651</x:v>
      </x:c>
      <x:c r="J13" s="25" t="n">
        <x:v>1900</x:v>
      </x:c>
      <x:c r="K13" s="53" t="n">
        <x:v>116.07415765697674</x:v>
      </x:c>
      <x:c r="L13" s="53" t="n">
        <x:v>27.54407813604651</x:v>
      </x:c>
      <x:c r="M13" s="27" t="str">
        <x:v>POINT(116.074158 27.544078)</x:v>
      </x:c>
      <x:c r="N13" s="25" t="n">
        <x:v>1600</x:v>
      </x:c>
      <x:c r="O13" s="25" t="n">
        <x:v>0</x:v>
      </x:c>
      <x:c r="P13" s="25" t="n">
        <x:v>10</x:v>
      </x:c>
      <x:c r="Q13" s="25" t="str">
        <x:v>曹山；陳坊木橋；鵬風橋；接龍橋；廖庄橋；練樹橋；純鄉溪；小巴溪／大巴溪水系；罕浒；朱溪（朱碧街可能今名）</x:v>
      </x:c>
      <x:c r="R13" s="25" t="n">
        <x:v>2</x:v>
      </x:c>
      <x:c r="S13" s="25" t="n">
        <x:v>1600</x:v>
      </x:c>
      <x:c r="T13" s="25" t="str">
        <x:v>曹山—朱溪雙錨點＋原文累積10.5里比例投影</x:v>
      </x:c>
      <x:c r="U13" s="25" t="n">
        <x:v>58</x:v>
      </x:c>
      <x:c r="V13" s="25" t="str">
        <x:v>低</x:v>
      </x:c>
      <x:c r="W13" s="25" t="str">
        <x:v>estimated_route_chain_with_auxiliary</x:v>
      </x:c>
      <x:c r="X13" s="25" t="str">
        <x:v>pending/review</x:v>
      </x:c>
      <x:c r="Y13" s="25" t="str">
        <x:v>https://zh.wikisource.org/zh-hans/%E5%BE%90%E9%9C%9E%E5%AE%A2%E9%81%8A%E8%A8%98/%E6%B1%9F%E5%8F%B3%E9%81%8A%E6%97%A5%E8%A8%98</x:v>
      </x:c>
      <x:c r="Z13" s="25" t="str">
        <x:v>https://www.shidianguji.com/book/NA02851/chapter/1m6jjz17v2qzn</x:v>
      </x:c>
      <x:c r="AA13" s="25" t="str">
        <x:v>可作文章次序及方向示意；需配合走廊及誤差範圍</x:v>
      </x:c>
      <x:c r="AB13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4" ht="58.5" customHeight="1">
      <x:c r="A14" s="25" t="n">
        <x:v>627</x:v>
      </x:c>
      <x:c r="B14" s="25" t="str">
        <x:v>二十三日</x:v>
      </x:c>
      <x:c r="C14" s="25" t="str">
        <x:v>龙骨山</x:v>
      </x:c>
      <x:c r="D14" s="25" t="str">
        <x:v>自然地理</x:v>
      </x:c>
      <x:c r="E14" s="25" t="str">
        <x:v>山岳</x:v>
      </x:c>
      <x:c r="F14" s="25" t="str">
        <x:v>經過</x:v>
      </x:c>
      <x:c r="G14" s="27" t="str">
        <x:v>从此入山共三里，逾大霍岭，直逼龙骨山下。</x:v>
      </x:c>
      <x:c r="H14" s="53" t="n">
        <x:v>116.07090072906976</x:v>
      </x:c>
      <x:c r="I14" s="53" t="n">
        <x:v>27.542356691860466</x:v>
      </x:c>
      <x:c r="J14" s="25" t="n">
        <x:v>1900</x:v>
      </x:c>
      <x:c r="K14" s="53" t="n">
        <x:v>116.07090072906976</x:v>
      </x:c>
      <x:c r="L14" s="53" t="n">
        <x:v>27.542356691860466</x:v>
      </x:c>
      <x:c r="M14" s="27" t="str">
        <x:v>POINT(116.070901 27.542357)</x:v>
      </x:c>
      <x:c r="N14" s="25" t="n">
        <x:v>1600</x:v>
      </x:c>
      <x:c r="O14" s="25" t="n">
        <x:v>0</x:v>
      </x:c>
      <x:c r="P14" s="25" t="n">
        <x:v>10</x:v>
      </x:c>
      <x:c r="Q14" s="25" t="str">
        <x:v>曹山；陳坊木橋；鵬風橋；接龍橋；廖庄橋；練樹橋；純鄉溪；小巴溪／大巴溪水系；罕浒；朱溪（朱碧街可能今名）</x:v>
      </x:c>
      <x:c r="R14" s="25" t="n">
        <x:v>2</x:v>
      </x:c>
      <x:c r="S14" s="25" t="n">
        <x:v>1600</x:v>
      </x:c>
      <x:c r="T14" s="25" t="str">
        <x:v>曹山—朱溪雙錨點＋原文累積11.5里比例投影</x:v>
      </x:c>
      <x:c r="U14" s="25" t="n">
        <x:v>58</x:v>
      </x:c>
      <x:c r="V14" s="25" t="str">
        <x:v>低</x:v>
      </x:c>
      <x:c r="W14" s="25" t="str">
        <x:v>estimated_route_chain_with_auxiliary</x:v>
      </x:c>
      <x:c r="X14" s="25" t="str">
        <x:v>pending/review</x:v>
      </x:c>
      <x:c r="Y14" s="25" t="str">
        <x:v>https://zh.wikisource.org/zh-hans/%E5%BE%90%E9%9C%9E%E5%AE%A2%E9%81%8A%E8%A8%98/%E6%B1%9F%E5%8F%B3%E9%81%8A%E6%97%A5%E8%A8%98</x:v>
      </x:c>
      <x:c r="Z14" s="25" t="str">
        <x:v>https://www.shidianguji.com/book/NA02851/chapter/1m6jjz17v2qzn</x:v>
      </x:c>
      <x:c r="AA14" s="25" t="str">
        <x:v>可作文章次序及方向示意；需配合走廊及誤差範圍</x:v>
      </x:c>
      <x:c r="AB14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5" ht="58.5" customHeight="1">
      <x:c r="A15" s="25" t="n">
        <x:v>628</x:v>
      </x:c>
      <x:c r="B15" s="25" t="str">
        <x:v>二十三日</x:v>
      </x:c>
      <x:c r="C15" s="25" t="str">
        <x:v>骨岭</x:v>
      </x:c>
      <x:c r="D15" s="25" t="str">
        <x:v>自然地理</x:v>
      </x:c>
      <x:c r="E15" s="25" t="str">
        <x:v>山岳</x:v>
      </x:c>
      <x:c r="F15" s="25" t="str">
        <x:v>經過</x:v>
      </x:c>
      <x:c r="G15" s="27" t="str">
        <x:v>又二里，逾骨岭，水犹东注。</x:v>
      </x:c>
      <x:c r="H15" s="53" t="n">
        <x:v>116.06438687325581</x:v>
      </x:c>
      <x:c r="I15" s="53" t="n">
        <x:v>27.53891380348837</x:v>
      </x:c>
      <x:c r="J15" s="25" t="n">
        <x:v>1900</x:v>
      </x:c>
      <x:c r="K15" s="53" t="n">
        <x:v>116.06438687325581</x:v>
      </x:c>
      <x:c r="L15" s="53" t="n">
        <x:v>27.53891380348837</x:v>
      </x:c>
      <x:c r="M15" s="27" t="str">
        <x:v>POINT(116.064387 27.538914)</x:v>
      </x:c>
      <x:c r="N15" s="25" t="n">
        <x:v>1600</x:v>
      </x:c>
      <x:c r="O15" s="25" t="n">
        <x:v>0</x:v>
      </x:c>
      <x:c r="P15" s="25" t="n">
        <x:v>10</x:v>
      </x:c>
      <x:c r="Q15" s="25" t="str">
        <x:v>曹山；陳坊木橋；鵬風橋；接龍橋；廖庄橋；練樹橋；純鄉溪；小巴溪／大巴溪水系；罕浒；朱溪（朱碧街可能今名）</x:v>
      </x:c>
      <x:c r="R15" s="25" t="n">
        <x:v>2</x:v>
      </x:c>
      <x:c r="S15" s="25" t="n">
        <x:v>1600</x:v>
      </x:c>
      <x:c r="T15" s="25" t="str">
        <x:v>曹山—朱溪雙錨點＋原文累積13.5里比例投影</x:v>
      </x:c>
      <x:c r="U15" s="25" t="n">
        <x:v>58</x:v>
      </x:c>
      <x:c r="V15" s="25" t="str">
        <x:v>低</x:v>
      </x:c>
      <x:c r="W15" s="25" t="str">
        <x:v>estimated_route_chain_with_auxiliary</x:v>
      </x:c>
      <x:c r="X15" s="25" t="str">
        <x:v>pending/review</x:v>
      </x:c>
      <x:c r="Y15" s="25" t="str">
        <x:v>https://zh.wikisource.org/zh-hans/%E5%BE%90%E9%9C%9E%E5%AE%A2%E9%81%8A%E8%A8%98/%E6%B1%9F%E5%8F%B3%E9%81%8A%E6%97%A5%E8%A8%98</x:v>
      </x:c>
      <x:c r="Z15" s="25" t="str">
        <x:v>https://www.shidianguji.com/book/NA02851/chapter/1m6jjz17v2qzn</x:v>
      </x:c>
      <x:c r="AA15" s="25" t="str">
        <x:v>可作文章次序及方向示意；需配合走廊及誤差範圍</x:v>
      </x:c>
      <x:c r="AB15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6" ht="58.5" customHeight="1">
      <x:c r="A16" s="25" t="n">
        <x:v>629</x:v>
      </x:c>
      <x:c r="B16" s="25" t="str">
        <x:v>二十三日</x:v>
      </x:c>
      <x:c r="C16" s="25" t="str">
        <x:v>幞头岭</x:v>
      </x:c>
      <x:c r="D16" s="25" t="str">
        <x:v>自然地理</x:v>
      </x:c>
      <x:c r="E16" s="25" t="str">
        <x:v>山岳</x:v>
      </x:c>
      <x:c r="F16" s="25" t="str">
        <x:v>經過</x:v>
      </x:c>
      <x:c r="G16" s="27" t="str">
        <x:v>又三里，下幞头岭，水始西流。</x:v>
      </x:c>
      <x:c r="H16" s="53" t="n">
        <x:v>116.05461608953487</x:v>
      </x:c>
      <x:c r="I16" s="53" t="n">
        <x:v>27.533749470930232</x:v>
      </x:c>
      <x:c r="J16" s="25" t="n">
        <x:v>1900</x:v>
      </x:c>
      <x:c r="K16" s="53" t="n">
        <x:v>116.05461608953487</x:v>
      </x:c>
      <x:c r="L16" s="53" t="n">
        <x:v>27.533749470930232</x:v>
      </x:c>
      <x:c r="M16" s="27" t="str">
        <x:v>POINT(116.054616 27.533749)</x:v>
      </x:c>
      <x:c r="N16" s="25" t="n">
        <x:v>1600</x:v>
      </x:c>
      <x:c r="O16" s="25" t="n">
        <x:v>0</x:v>
      </x:c>
      <x:c r="P16" s="25" t="n">
        <x:v>10</x:v>
      </x:c>
      <x:c r="Q16" s="25" t="str">
        <x:v>曹山；陳坊木橋；鵬風橋；接龍橋；廖庄橋；練樹橋；純鄉溪；小巴溪／大巴溪水系；罕浒；朱溪（朱碧街可能今名）</x:v>
      </x:c>
      <x:c r="R16" s="25" t="n">
        <x:v>2</x:v>
      </x:c>
      <x:c r="S16" s="25" t="n">
        <x:v>1600</x:v>
      </x:c>
      <x:c r="T16" s="25" t="str">
        <x:v>曹山—朱溪雙錨點＋原文累積16.5里比例投影</x:v>
      </x:c>
      <x:c r="U16" s="25" t="n">
        <x:v>58</x:v>
      </x:c>
      <x:c r="V16" s="25" t="str">
        <x:v>低</x:v>
      </x:c>
      <x:c r="W16" s="25" t="str">
        <x:v>estimated_route_chain_with_auxiliary</x:v>
      </x:c>
      <x:c r="X16" s="25" t="str">
        <x:v>pending/review</x:v>
      </x:c>
      <x:c r="Y16" s="25" t="str">
        <x:v>https://zh.wikisource.org/zh-hans/%E5%BE%90%E9%9C%9E%E5%AE%A2%E9%81%8A%E8%A8%98/%E6%B1%9F%E5%8F%B3%E9%81%8A%E6%97%A5%E8%A8%98</x:v>
      </x:c>
      <x:c r="Z16" s="25" t="str">
        <x:v>https://www.shidianguji.com/book/NA02851/chapter/1m6jjz17v2qzn</x:v>
      </x:c>
      <x:c r="AA16" s="25" t="str">
        <x:v>可作文章次序及方向示意；需配合走廊及誤差範圍</x:v>
      </x:c>
      <x:c r="AB16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7" ht="58.5" customHeight="1">
      <x:c r="A17" s="25" t="n">
        <x:v>630</x:v>
      </x:c>
      <x:c r="B17" s="25" t="str">
        <x:v>二十三日</x:v>
      </x:c>
      <x:c r="C17" s="25" t="str">
        <x:v>纯乡</x:v>
      </x:c>
      <x:c r="D17" s="25" t="str">
        <x:v>聚落</x:v>
      </x:c>
      <x:c r="E17" s="25" t="str">
        <x:v>聚落</x:v>
      </x:c>
      <x:c r="F17" s="25" t="str">
        <x:v>經過</x:v>
      </x:c>
      <x:c r="G17" s="27" t="str">
        <x:v>又四里至纯乡，则一溪自南而北矣。</x:v>
      </x:c>
      <x:c r="H17" s="53" t="n">
        <x:v>116.04158837790698</x:v>
      </x:c>
      <x:c r="I17" s="53" t="n">
        <x:v>27.526863694186048</x:v>
      </x:c>
      <x:c r="J17" s="25" t="n">
        <x:v>1900</x:v>
      </x:c>
      <x:c r="K17" s="53" t="n">
        <x:v>116.04158837790698</x:v>
      </x:c>
      <x:c r="L17" s="53" t="n">
        <x:v>27.526863694186048</x:v>
      </x:c>
      <x:c r="M17" s="27" t="str">
        <x:v>POINT(116.041588 27.526864)</x:v>
      </x:c>
      <x:c r="N17" s="25" t="n">
        <x:v>1600</x:v>
      </x:c>
      <x:c r="O17" s="25" t="n">
        <x:v>0</x:v>
      </x:c>
      <x:c r="P17" s="25" t="n">
        <x:v>10</x:v>
      </x:c>
      <x:c r="Q17" s="25" t="str">
        <x:v>曹山；陳坊木橋；鵬風橋；接龍橋；廖庄橋；練樹橋；純鄉溪；小巴溪／大巴溪水系；罕浒；朱溪（朱碧街可能今名）</x:v>
      </x:c>
      <x:c r="R17" s="25" t="n">
        <x:v>2</x:v>
      </x:c>
      <x:c r="S17" s="25" t="n">
        <x:v>1600</x:v>
      </x:c>
      <x:c r="T17" s="25" t="str">
        <x:v>曹山—朱溪雙錨點＋原文累積20.5里比例投影</x:v>
      </x:c>
      <x:c r="U17" s="25" t="n">
        <x:v>58</x:v>
      </x:c>
      <x:c r="V17" s="25" t="str">
        <x:v>低</x:v>
      </x:c>
      <x:c r="W17" s="25" t="str">
        <x:v>estimated_route_chain_with_auxiliary</x:v>
      </x:c>
      <x:c r="X17" s="25" t="str">
        <x:v>pending/review</x:v>
      </x:c>
      <x:c r="Y17" s="25" t="str">
        <x:v>https://zh.wikisource.org/zh-hans/%E5%BE%90%E9%9C%9E%E5%AE%A2%E9%81%8A%E8%A8%98/%E6%B1%9F%E5%8F%B3%E9%81%8A%E6%97%A5%E8%A8%98</x:v>
      </x:c>
      <x:c r="Z17" s="25" t="str">
        <x:v>https://www.shidianguji.com/book/NA02851/chapter/1m6jjz17v2qzn</x:v>
      </x:c>
      <x:c r="AA17" s="25" t="str">
        <x:v>可作文章次序及方向示意；需配合走廊及誤差範圍</x:v>
      </x:c>
      <x:c r="AB17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8" ht="58.5" customHeight="1">
      <x:c r="A18" s="25" t="n">
        <x:v>631</x:v>
      </x:c>
      <x:c r="B18" s="25" t="str">
        <x:v>二十三日</x:v>
      </x:c>
      <x:c r="C18" s="25" t="str">
        <x:v>纯乡村</x:v>
      </x:c>
      <x:c r="D18" s="25" t="str">
        <x:v>村莊</x:v>
      </x:c>
      <x:c r="E18" s="25" t="str">
        <x:v>村莊／寨</x:v>
      </x:c>
      <x:c r="F18" s="25" t="str">
        <x:v>經過</x:v>
      </x:c>
      <x:c r="G18" s="27" t="str">
        <x:v>渡溪桥是为纯乡村，有居民颇众。</x:v>
      </x:c>
      <x:c r="H18" s="53" t="n">
        <x:v>116.04093699232557</x:v>
      </x:c>
      <x:c r="I18" s="53" t="n">
        <x:v>27.526519405348836</x:v>
      </x:c>
      <x:c r="J18" s="25" t="n">
        <x:v>1900</x:v>
      </x:c>
      <x:c r="K18" s="53" t="n">
        <x:v>116.04093699232557</x:v>
      </x:c>
      <x:c r="L18" s="53" t="n">
        <x:v>27.526519405348836</x:v>
      </x:c>
      <x:c r="M18" s="27" t="str">
        <x:v>POINT(116.040937 27.526519)</x:v>
      </x:c>
      <x:c r="N18" s="25" t="n">
        <x:v>1600</x:v>
      </x:c>
      <x:c r="O18" s="25" t="n">
        <x:v>0</x:v>
      </x:c>
      <x:c r="P18" s="25" t="n">
        <x:v>10</x:v>
      </x:c>
      <x:c r="Q18" s="25" t="str">
        <x:v>曹山；陳坊木橋；鵬風橋；接龍橋；廖庄橋；練樹橋；純鄉溪；小巴溪／大巴溪水系；罕浒；朱溪（朱碧街可能今名）</x:v>
      </x:c>
      <x:c r="R18" s="25" t="n">
        <x:v>2</x:v>
      </x:c>
      <x:c r="S18" s="25" t="n">
        <x:v>1600</x:v>
      </x:c>
      <x:c r="T18" s="25" t="str">
        <x:v>曹山—朱溪雙錨點＋原文累積20.7里比例投影</x:v>
      </x:c>
      <x:c r="U18" s="25" t="n">
        <x:v>58</x:v>
      </x:c>
      <x:c r="V18" s="25" t="str">
        <x:v>低</x:v>
      </x:c>
      <x:c r="W18" s="25" t="str">
        <x:v>estimated_route_chain_with_auxiliary</x:v>
      </x:c>
      <x:c r="X18" s="25" t="str">
        <x:v>pending/review</x:v>
      </x:c>
      <x:c r="Y18" s="25" t="str">
        <x:v>https://zh.wikisource.org/zh-hans/%E5%BE%90%E9%9C%9E%E5%AE%A2%E9%81%8A%E8%A8%98/%E6%B1%9F%E5%8F%B3%E9%81%8A%E6%97%A5%E8%A8%98</x:v>
      </x:c>
      <x:c r="Z18" s="25" t="str">
        <x:v>https://www.shidianguji.com/book/NA02851/chapter/1m6jjz17v2qzn</x:v>
      </x:c>
      <x:c r="AA18" s="25" t="str">
        <x:v>可作文章次序及方向示意；需配合走廊及誤差範圍</x:v>
      </x:c>
      <x:c r="AB18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19" ht="58.5" customHeight="1">
      <x:c r="A19" s="25" t="n">
        <x:v>633</x:v>
      </x:c>
      <x:c r="B19" s="25" t="str">
        <x:v>二十三日</x:v>
      </x:c>
      <x:c r="C19" s="25" t="str">
        <x:v>干冈岭</x:v>
      </x:c>
      <x:c r="D19" s="25" t="str">
        <x:v>自然地理</x:v>
      </x:c>
      <x:c r="E19" s="25" t="str">
        <x:v>山岳</x:v>
      </x:c>
      <x:c r="F19" s="25" t="str">
        <x:v>經過</x:v>
      </x:c>
      <x:c r="G19" s="27" t="str">
        <x:v>南循小水一里，西登干冈岭，岭颇峻，逾岭而下，纯西南行矣。</x:v>
      </x:c>
      <x:c r="H19" s="53" t="n">
        <x:v>116.03507452209301</x:v>
      </x:c>
      <x:c r="I19" s="53" t="n">
        <x:v>27.523420805813952</x:v>
      </x:c>
      <x:c r="J19" s="25" t="n">
        <x:v>1900</x:v>
      </x:c>
      <x:c r="K19" s="53" t="n">
        <x:v>116.03507452209301</x:v>
      </x:c>
      <x:c r="L19" s="53" t="n">
        <x:v>27.523420805813952</x:v>
      </x:c>
      <x:c r="M19" s="27" t="str">
        <x:v>POINT(116.035075 27.523421)</x:v>
      </x:c>
      <x:c r="N19" s="25" t="n">
        <x:v>1700</x:v>
      </x:c>
      <x:c r="O19" s="25" t="n">
        <x:v>0</x:v>
      </x:c>
      <x:c r="P19" s="25" t="n">
        <x:v>10</x:v>
      </x:c>
      <x:c r="Q19" s="25" t="str">
        <x:v>曹山；陳坊木橋；鵬風橋；接龍橋；廖庄橋；練樹橋；純鄉溪；小巴溪／大巴溪水系；罕浒；朱溪（朱碧街可能今名）</x:v>
      </x:c>
      <x:c r="R19" s="25" t="n">
        <x:v>2</x:v>
      </x:c>
      <x:c r="S19" s="25" t="n">
        <x:v>1650</x:v>
      </x:c>
      <x:c r="T19" s="25" t="str">
        <x:v>曹山—朱溪雙錨點＋原文累積22.5里比例投影</x:v>
      </x:c>
      <x:c r="U19" s="25" t="n">
        <x:v>58</x:v>
      </x:c>
      <x:c r="V19" s="25" t="str">
        <x:v>低</x:v>
      </x:c>
      <x:c r="W19" s="25" t="str">
        <x:v>estimated_route_chain_with_auxiliary</x:v>
      </x:c>
      <x:c r="X19" s="25" t="str">
        <x:v>pending/review</x:v>
      </x:c>
      <x:c r="Y19" s="25" t="str">
        <x:v>https://zh.wikisource.org/zh-hans/%E5%BE%90%E9%9C%9E%E5%AE%A2%E9%81%8A%E8%A8%98/%E6%B1%9F%E5%8F%B3%E9%81%8A%E6%97%A5%E8%A8%98</x:v>
      </x:c>
      <x:c r="Z19" s="25" t="str">
        <x:v>https://www.shidianguji.com/book/NA02851/chapter/1m6jjz17v2qzn</x:v>
      </x:c>
      <x:c r="AA19" s="25" t="str">
        <x:v>可作文章次序及方向示意；需配合走廊及誤差範圍</x:v>
      </x:c>
      <x:c r="AB19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20" ht="58.5" customHeight="1">
      <x:c r="A20" s="25" t="n">
        <x:v>636</x:v>
      </x:c>
      <x:c r="B20" s="25" t="str">
        <x:v>二十三日</x:v>
      </x:c>
      <x:c r="C20" s="25" t="str">
        <x:v>巴溪</x:v>
      </x:c>
      <x:c r="D20" s="25" t="str">
        <x:v>水系</x:v>
      </x:c>
      <x:c r="E20" s="25" t="str">
        <x:v>江河</x:v>
      </x:c>
      <x:c r="F20" s="25" t="str">
        <x:v>經過</x:v>
      </x:c>
      <x:c r="G20" s="27" t="str">
        <x:v>又西五里，过练树桥，桥跨巴溪之上。</x:v>
      </x:c>
      <x:c r="H20" s="53" t="n">
        <x:v>115.98622060348836</x:v>
      </x:c>
      <x:c r="I20" s="53" t="n">
        <x:v>27.49759914302326</x:v>
      </x:c>
      <x:c r="J20" s="25" t="n">
        <x:v>2400</x:v>
      </x:c>
      <x:c r="K20" s="53" t="n">
        <x:v>115.98622060348836</x:v>
      </x:c>
      <x:c r="L20" s="53" t="n">
        <x:v>27.49759914302326</x:v>
      </x:c>
      <x:c r="M20" s="27" t="str">
        <x:v>POINT(115.986221 27.497599)</x:v>
      </x:c>
      <x:c r="N20" s="25" t="n">
        <x:v>1800</x:v>
      </x:c>
      <x:c r="O20" s="25" t="n">
        <x:v>0</x:v>
      </x:c>
      <x:c r="P20" s="25" t="n">
        <x:v>10</x:v>
      </x:c>
      <x:c r="Q20" s="25" t="str">
        <x:v>曹山；陳坊木橋；鵬風橋；接龍橋；廖庄橋；練樹橋；純鄉溪；小巴溪／大巴溪水系；罕浒；朱溪（朱碧街可能今名）</x:v>
      </x:c>
      <x:c r="R20" s="25" t="n">
        <x:v>2</x:v>
      </x:c>
      <x:c r="S20" s="25" t="n">
        <x:v>1700</x:v>
      </x:c>
      <x:c r="T20" s="25" t="str">
        <x:v>曹山—朱溪雙錨點＋原文累積37.5里比例投影</x:v>
      </x:c>
      <x:c r="U20" s="25" t="n">
        <x:v>58</x:v>
      </x:c>
      <x:c r="V20" s="25" t="str">
        <x:v>低</x:v>
      </x:c>
      <x:c r="W20" s="25" t="str">
        <x:v>estimated_route_chain_with_auxiliary</x:v>
      </x:c>
      <x:c r="X20" s="25" t="str">
        <x:v>pending/review</x:v>
      </x:c>
      <x:c r="Y20" s="25" t="str">
        <x:v>https://zh.wikisource.org/zh-hans/%E5%BE%90%E9%9C%9E%E5%AE%A2%E9%81%8A%E8%A8%98/%E6%B1%9F%E5%8F%B3%E9%81%8A%E6%97%A5%E8%A8%98</x:v>
      </x:c>
      <x:c r="Z20" s="25" t="str">
        <x:v>https://www.shidianguji.com/book/NA02851/chapter/1m6jjz17v2qzn</x:v>
      </x:c>
      <x:c r="AA20" s="25" t="str">
        <x:v>可作文章次序及方向示意；需配合走廊及誤差範圍</x:v>
      </x:c>
      <x:c r="AB20" s="25" t="str">
        <x:v>加入陳坊木橋、鵬風橋、接龍橋、廖庄橋、練樹橋、罕浒等路線輔助節點後，將長缺口拆段；山嶺本身仍無獨立POI。 輔助節點只作route_auxiliary；不混入正式地標點層。</x:v>
      </x:c>
    </x:row>
    <x:row r="21" ht="58.5" customHeight="1">
      <x:c r="A21" s="26" t="n">
        <x:v>650</x:v>
      </x:c>
      <x:c r="B21" s="26" t="str">
        <x:v>二十三日</x:v>
      </x:c>
      <x:c r="C21" s="26" t="str">
        <x:v>朱碧街</x:v>
      </x:c>
      <x:c r="D21" s="26" t="str">
        <x:v>聚落</x:v>
      </x:c>
      <x:c r="E21" s="26" t="str">
        <x:v>聚落</x:v>
      </x:c>
      <x:c r="F21" s="26" t="str">
        <x:v>經過</x:v>
      </x:c>
      <x:c r="G21" s="28" t="str">
        <x:v>自练树桥又五里而至朱碧街。</x:v>
      </x:c>
      <x:c r="H21" s="54" t="n">
        <x:v>115.9683075</x:v>
      </x:c>
      <x:c r="I21" s="54" t="n">
        <x:v>27.4881312</x:v>
      </x:c>
      <x:c r="J21" s="26" t="n">
        <x:v>1500</x:v>
      </x:c>
      <x:c r="K21" s="54" t="n">
        <x:v>115.9683075</x:v>
      </x:c>
      <x:c r="L21" s="54" t="n">
        <x:v>27.4881312</x:v>
      </x:c>
      <x:c r="M21" s="28" t="str">
        <x:v>POINT(115.968307 27.488131)</x:v>
      </x:c>
      <x:c r="N21" s="26" t="n">
        <x:v>1200</x:v>
      </x:c>
      <x:c r="O21" s="26" t="n">
        <x:v>0</x:v>
      </x:c>
      <x:c r="P21" s="26" t="n">
        <x:v>10</x:v>
      </x:c>
      <x:c r="Q21" s="26" t="str">
        <x:v>曹山；陳坊木橋；鵬風橋；接龍橋；廖庄橋；練樹橋；純鄉溪；小巴溪／大巴溪水系；罕浒；朱溪（朱碧街可能今名）</x:v>
      </x:c>
      <x:c r="R21" s="26" t="n">
        <x:v>2</x:v>
      </x:c>
      <x:c r="S21" s="26" t="n">
        <x:v>1400</x:v>
      </x:c>
      <x:c r="T21" s="26" t="str">
        <x:v>曹山—朱溪雙錨點＋「朱碧街［朱溪？］」異名配對</x:v>
      </x:c>
      <x:c r="U21" s="26" t="n">
        <x:v>76</x:v>
      </x:c>
      <x:c r="V21" s="26" t="str">
        <x:v>中低</x:v>
      </x:c>
      <x:c r="W21" s="26" t="str">
        <x:v>probable_modern_alias_with_auxiliary</x:v>
      </x:c>
      <x:c r="X21" s="26" t="str">
        <x:v>pending/review</x:v>
      </x:c>
      <x:c r="Y21" s="26" t="str">
        <x:v>https://www.openstreetmap.org/node/8857634831</x:v>
      </x:c>
      <x:c r="Z21" s="26" t="str">
        <x:v>https://sucra.repo.nii.ac.jp/record/17737/files/KY-AA12318206-6401-11.pdf</x:v>
      </x:c>
      <x:c r="AA21" s="26" t="str">
        <x:v>可作文章次序及方向示意；需配合走廊及誤差範圍</x:v>
      </x:c>
      <x:c r="AB21" s="26" t="str">
        <x:v>朱溪村是現代候選，但仍需地方志原文核對朱碧街身份。 輔助節點只作route_auxiliary；不混入正式地標點層。</x:v>
      </x:c>
    </x:row>
  </x:sheetData>
  <x:mergeCells>
    <x:mergeCell ref="A1:AB1"/>
    <x:mergeCell ref="A2:AB2"/>
    <x:mergeCell ref="A3:AB3"/>
    <x:mergeCell ref="A4:AB4"/>
  </x:mergeCells>
  <x:pageMargins left="0.7" right="0.7" top="0.75" bottom="0.75" header="0.3" footer="0.3"/>
  <x:tableParts count="1">
    <x:tablePart xmlns:r="http://schemas.openxmlformats.org/officeDocument/2006/relationships" r:id="R812fc3df140a47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6.110000610351562" hidden="0" customWidth="1"/>
    <x:col min="4" max="4" width="13.329999923706055" hidden="0" customWidth="1"/>
    <x:col min="5" max="5" width="16.110000610351562" hidden="0" customWidth="1"/>
    <x:col min="6" max="6" width="16.110000610351562" hidden="0" customWidth="1"/>
    <x:col min="7" max="7" width="13.329999923706055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16.110000610351562" hidden="0" customWidth="1"/>
    <x:col min="15" max="15" width="16.110000610351562" hidden="0" customWidth="1"/>
    <x:col min="16" max="16" width="28.889999389648438" hidden="0" customWidth="1"/>
    <x:col min="17" max="17" width="28.889999389648438" hidden="0" customWidth="1"/>
    <x:col min="18" max="18" width="13.329999923706055" hidden="0" customWidth="1"/>
    <x:col min="19" max="19" width="16.110000610351562" hidden="0" customWidth="1"/>
    <x:col min="20" max="20" width="16.110000610351562" hidden="0" customWidth="1"/>
    <x:col min="21" max="21" width="28.889999389648438" hidden="0" customWidth="1"/>
    <x:col min="22" max="22" width="16.110000610351562" hidden="0" customWidth="1"/>
    <x:col min="23" max="23" width="28.889999389648438" hidden="0" customWidth="1"/>
    <x:col min="24" max="24" width="16.110000610351562" hidden="0" customWidth="1"/>
    <x:col min="25" max="25" width="16.110000610351562" hidden="0" customWidth="1"/>
    <x:col min="26" max="26" width="28.889999389648438" hidden="0" customWidth="1"/>
  </x:cols>
  <x:sheetData>
    <x:row r="1" ht="24" customHeight="1">
      <x:c r="A1" s="74" t="str">
        <x:v>江右游日記二十三日｜步驟七：原文方向／里數路徑推算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 ht="28.5" customHeight="1">
      <x:c r="A2" s="8" t="str">
        <x:f>"二十三日結果｜"&amp;COUNTA(A7:A32)&amp;" 筆｜"&amp;"有序走廊段 26；輔助節點 13（另列於原始工作簿）"</x:f>
        <x:v>二十三日結果｜26 筆｜有序走廊段 26；輔助節點 13（另列於原始工作簿）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8.75" customHeight="1">
      <x:c r="A3" s="12" t="str">
        <x:v>Prompt｜本步驟獨立操作指令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78.75" customHeight="1">
      <x:c r="A4" s="16" t="str">
        <x:v>請用二十三日原文明示方向、里數、前後站次序及橋／村／溪流／山路輔助節點，建立有序路徑鏈。將仍未有獨立座標的地名投影到錨點之間的路徑走廊，重新計算中心點及誤差半徑；只表述為約略位置。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6" ht="36" customHeight="1">
      <x:c r="A6" s="78" t="str">
        <x:v>corridor_order</x:v>
      </x:c>
      <x:c r="B6" s="78" t="str">
        <x:v>日期</x:v>
      </x:c>
      <x:c r="C6" s="78" t="str">
        <x:v>segment</x:v>
      </x:c>
      <x:c r="D6" s="78" t="str">
        <x:v>from_id</x:v>
      </x:c>
      <x:c r="E6" s="78" t="str">
        <x:v>from_name</x:v>
      </x:c>
      <x:c r="F6" s="78" t="str">
        <x:v>from_role</x:v>
      </x:c>
      <x:c r="G6" s="78" t="str">
        <x:v>to_id</x:v>
      </x:c>
      <x:c r="H6" s="78" t="str">
        <x:v>to_name</x:v>
      </x:c>
      <x:c r="I6" s="78" t="str">
        <x:v>to_role</x:v>
      </x:c>
      <x:c r="J6" s="78" t="str">
        <x:v>from_lon_WGS84</x:v>
      </x:c>
      <x:c r="K6" s="78" t="str">
        <x:v>from_lat_WGS84</x:v>
      </x:c>
      <x:c r="L6" s="78" t="str">
        <x:v>to_lon_WGS84</x:v>
      </x:c>
      <x:c r="M6" s="78" t="str">
        <x:v>to_lat_WGS84</x:v>
      </x:c>
      <x:c r="N6" s="78" t="str">
        <x:v>distance_m</x:v>
      </x:c>
      <x:c r="O6" s="78" t="str">
        <x:v>bearing_deg</x:v>
      </x:c>
      <x:c r="P6" s="78" t="str">
        <x:v>centerline_WKT</x:v>
      </x:c>
      <x:c r="Q6" s="78" t="str">
        <x:v>corridor_polygon_WKT</x:v>
      </x:c>
      <x:c r="R6" s="78" t="str">
        <x:v>corridor_width_m</x:v>
      </x:c>
      <x:c r="S6" s="78" t="str">
        <x:v>CRS</x:v>
      </x:c>
      <x:c r="T6" s="78" t="str">
        <x:v>geometry_role</x:v>
      </x:c>
      <x:c r="U6" s="78" t="str">
        <x:v>建構方法</x:v>
      </x:c>
      <x:c r="V6" s="78" t="str">
        <x:v>gis_decision</x:v>
      </x:c>
      <x:c r="W6" s="78" t="str">
        <x:v>主要來源</x:v>
      </x:c>
      <x:c r="X6" s="78" t="str">
        <x:v>from_source</x:v>
      </x:c>
      <x:c r="Y6" s="78" t="str">
        <x:v>to_source</x:v>
      </x:c>
      <x:c r="Z6" s="78" t="str">
        <x:v>約束依據</x:v>
      </x:c>
    </x:row>
    <x:row r="7" ht="58.5" customHeight="1">
      <x:c r="A7" s="25" t="n">
        <x:v>20</x:v>
      </x:c>
      <x:c r="B7" s="25" t="str">
        <x:v>二十三日</x:v>
      </x:c>
      <x:c r="C7" s="25" t="str">
        <x:v>二十三日-A（三峰山）</x:v>
      </x:c>
      <x:c r="D7" s="25" t="str">
        <x:v>23A-01</x:v>
      </x:c>
      <x:c r="E7" s="25" t="str">
        <x:v>象山／三峰山</x:v>
      </x:c>
      <x:c r="F7" s="25" t="str">
        <x:v>aux</x:v>
      </x:c>
      <x:c r="G7" s="25" t="str">
        <x:v>F-185</x:v>
      </x:c>
      <x:c r="H7" s="25" t="str">
        <x:v>张真人墓</x:v>
      </x:c>
      <x:c r="I7" s="25" t="str">
        <x:v>formal</x:v>
      </x:c>
      <x:c r="J7" s="25" t="n">
        <x:v>117.206618</x:v>
      </x:c>
      <x:c r="K7" s="25" t="n">
        <x:v>28.276501</x:v>
      </x:c>
      <x:c r="L7" s="25" t="n">
        <x:v>117.21056349002849</x:v>
      </x:c>
      <x:c r="M7" s="25" t="n">
        <x:v>28.27332159307314</x:v>
      </x:c>
      <x:c r="N7" s="25" t="n">
        <x:v>524</x:v>
      </x:c>
      <x:c r="O7" s="25" t="n">
        <x:v>132.5</x:v>
      </x:c>
      <x:c r="P7" s="27" t="str">
        <x:v>LINESTRING(117.206618 28.276501, 117.210563 28.273322)</x:v>
      </x:c>
      <x:c r="Q7" s="27" t="str">
        <x:v>POLYGON((117.212478 28.282141, 117.216423 28.278961, 117.204705 28.267682, 117.200759 28.270861, 117.212478 28.282141))</x:v>
      </x:c>
      <x:c r="R7" s="25" t="n">
        <x:v>1700</x:v>
      </x:c>
      <x:c r="S7" s="25" t="str">
        <x:v>EPSG:4326</x:v>
      </x:c>
      <x:c r="T7" s="25" t="str">
        <x:v>作者路徑搜尋走廊</x:v>
      </x:c>
      <x:c r="U7" s="25" t="str">
        <x:v>estimated_auxiliary_constrained_corridor</x:v>
      </x:c>
      <x:c r="V7" s="25" t="str">
        <x:v>pending/review</x:v>
      </x:c>
      <x:c r="W7" s="25" t="str">
        <x:v>https://zh.wikisource.org/zh-hans/%E5%BE%90%E9%9C%9E%E5%AE%A2%E9%81%8A%E8%A8%98/%E6%B1%9F%E5%8F%B3%E9%81%8A%E6%97%A5%E8%A8%98</x:v>
      </x:c>
      <x:c r="X7" s="25" t="str">
        <x:v>https://www.amap.com/place/B0KG0DFDHG</x:v>
      </x:c>
      <x:c r="Y7" s="25" t="str">
        <x:v>https://www.amap.com/place/B0KG0DFDHG</x:v>
      </x:c>
      <x:c r="Z7" s="25" t="str">
        <x:v>同段 象山／三峰山→张真人墓；輔助節點／原文里數／山脊河谷限制；方向 132.5°</x:v>
      </x:c>
    </x:row>
    <x:row r="8" ht="58.5" customHeight="1">
      <x:c r="A8" s="25" t="n">
        <x:v>21</x:v>
      </x:c>
      <x:c r="B8" s="25" t="str">
        <x:v>二十三日</x:v>
      </x:c>
      <x:c r="C8" s="25" t="str">
        <x:v>二十三日-A（三峰山）</x:v>
      </x:c>
      <x:c r="D8" s="25" t="str">
        <x:v>F-185</x:v>
      </x:c>
      <x:c r="E8" s="25" t="str">
        <x:v>张真人墓</x:v>
      </x:c>
      <x:c r="F8" s="25" t="str">
        <x:v>formal</x:v>
      </x:c>
      <x:c r="G8" s="25" t="str">
        <x:v>23A-02</x:v>
      </x:c>
      <x:c r="H8" s="25" t="str">
        <x:v>五面峰／一線天母地物</x:v>
      </x:c>
      <x:c r="I8" s="25" t="str">
        <x:v>aux</x:v>
      </x:c>
      <x:c r="J8" s="25" t="n">
        <x:v>117.21056349002849</x:v>
      </x:c>
      <x:c r="K8" s="25" t="n">
        <x:v>28.27332159307314</x:v>
      </x:c>
      <x:c r="L8" s="25" t="n">
        <x:v>117.19939762003003</x:v>
      </x:c>
      <x:c r="M8" s="25" t="n">
        <x:v>28.270141646135688</x:v>
      </x:c>
      <x:c r="N8" s="25" t="n">
        <x:v>1149</x:v>
      </x:c>
      <x:c r="O8" s="25" t="n">
        <x:v>252.1</x:v>
      </x:c>
      <x:c r="P8" s="27" t="str">
        <x:v>LINESTRING(117.210563 28.273322, 117.199398 28.270142)</x:v>
      </x:c>
      <x:c r="Q8" s="27" t="str">
        <x:v>POLYGON((117.213234 28.266048, 117.202068 28.262868, 117.196727 28.277415, 117.207893 28.280595, 117.213234 28.266048))</x:v>
      </x:c>
      <x:c r="R8" s="25" t="n">
        <x:v>1700</x:v>
      </x:c>
      <x:c r="S8" s="25" t="str">
        <x:v>EPSG:4326</x:v>
      </x:c>
      <x:c r="T8" s="25" t="str">
        <x:v>作者路徑搜尋走廊</x:v>
      </x:c>
      <x:c r="U8" s="25" t="str">
        <x:v>estimated_auxiliary_constrained_corridor</x:v>
      </x:c>
      <x:c r="V8" s="25" t="str">
        <x:v>pending/review</x:v>
      </x:c>
      <x:c r="W8" s="25" t="str">
        <x:v>https://zh.wikisource.org/zh-hans/%E5%BE%90%E9%9C%9E%E5%AE%A2%E9%81%8A%E8%A8%98/%E6%B1%9F%E5%8F%B3%E9%81%8A%E6%97%A5%E8%A8%98</x:v>
      </x:c>
      <x:c r="X8" s="25" t="str">
        <x:v>https://www.amap.com/place/B0KG0DFDHG</x:v>
      </x:c>
      <x:c r="Y8" s="25" t="str">
        <x:v>https://www.shidianguji.com/book/HY2516/chapter/1kpc9d09e5vdm</x:v>
      </x:c>
      <x:c r="Z8" s="25" t="str">
        <x:v>同段 张真人墓→五面峰／一線天母地物；輔助節點／原文里數／山脊河谷限制；方向 252.1°</x:v>
      </x:c>
    </x:row>
    <x:row r="9" ht="58.5" customHeight="1">
      <x:c r="A9" s="25" t="n">
        <x:v>22</x:v>
      </x:c>
      <x:c r="B9" s="25" t="str">
        <x:v>二十三日</x:v>
      </x:c>
      <x:c r="C9" s="25" t="str">
        <x:v>二十三日-A（三峰山）</x:v>
      </x:c>
      <x:c r="D9" s="25" t="str">
        <x:v>23A-02</x:v>
      </x:c>
      <x:c r="E9" s="25" t="str">
        <x:v>五面峰／一線天母地物</x:v>
      </x:c>
      <x:c r="F9" s="25" t="str">
        <x:v>aux</x:v>
      </x:c>
      <x:c r="G9" s="25" t="str">
        <x:v>F-190</x:v>
      </x:c>
      <x:c r="H9" s="25" t="str">
        <x:v>一线天</x:v>
      </x:c>
      <x:c r="I9" s="25" t="str">
        <x:v>formal</x:v>
      </x:c>
      <x:c r="J9" s="25" t="n">
        <x:v>117.19939762003003</x:v>
      </x:c>
      <x:c r="K9" s="25" t="n">
        <x:v>28.270141646135688</x:v>
      </x:c>
      <x:c r="L9" s="25" t="n">
        <x:v>117.20084167878814</x:v>
      </x:c>
      <x:c r="M9" s="25" t="n">
        <x:v>28.268869805732734</x:v>
      </x:c>
      <x:c r="N9" s="25" t="n">
        <x:v>200</x:v>
      </x:c>
      <x:c r="O9" s="25" t="n">
        <x:v>135</x:v>
      </x:c>
      <x:c r="P9" s="27" t="str">
        <x:v>LINESTRING(117.199398 28.270142, 117.200842 28.268870)</x:v>
      </x:c>
      <x:c r="Q9" s="27" t="str">
        <x:v>POLYGON((117.204452 28.274593, 117.205896 28.273321, 117.195788 28.264418, 117.194344 28.265690, 117.204452 28.274593))</x:v>
      </x:c>
      <x:c r="R9" s="25" t="n">
        <x:v>1400</x:v>
      </x:c>
      <x:c r="S9" s="25" t="str">
        <x:v>EPSG:4326</x:v>
      </x:c>
      <x:c r="T9" s="25" t="str">
        <x:v>作者路徑搜尋走廊</x:v>
      </x:c>
      <x:c r="U9" s="25" t="str">
        <x:v>estimated_auxiliary_constrained_corridor</x:v>
      </x:c>
      <x:c r="V9" s="25" t="str">
        <x:v>pending/review</x:v>
      </x:c>
      <x:c r="W9" s="25" t="str">
        <x:v>https://zh.wikisource.org/zh-hans/%E5%BE%90%E9%9C%9E%E5%AE%A2%E9%81%8A%E8%A8%98/%E6%B1%9F%E5%8F%B3%E9%81%8A%E6%97%A5%E8%A8%98</x:v>
      </x:c>
      <x:c r="X9" s="25" t="str">
        <x:v>https://www.shidianguji.com/book/HY2516/chapter/1kpc9d09e5vdm</x:v>
      </x:c>
      <x:c r="Y9" s="25" t="str">
        <x:v>https://www.shidianguji.com/book/HY2516/chapter/1kpc9d09e5vdm</x:v>
      </x:c>
      <x:c r="Z9" s="25" t="str">
        <x:v>同段 五面峰／一線天母地物→一线天；輔助節點／原文里數／山脊河谷限制；方向 135.0°</x:v>
      </x:c>
    </x:row>
    <x:row r="10" ht="58.5" customHeight="1">
      <x:c r="A10" s="25" t="n">
        <x:v>23</x:v>
      </x:c>
      <x:c r="B10" s="25" t="str">
        <x:v>二十三日</x:v>
      </x:c>
      <x:c r="C10" s="25" t="str">
        <x:v>二十三日-A（三峰山）</x:v>
      </x:c>
      <x:c r="D10" s="25" t="str">
        <x:v>F-190</x:v>
      </x:c>
      <x:c r="E10" s="25" t="str">
        <x:v>一线天</x:v>
      </x:c>
      <x:c r="F10" s="25" t="str">
        <x:v>formal</x:v>
      </x:c>
      <x:c r="G10" s="25" t="str">
        <x:v>F-192</x:v>
      </x:c>
      <x:c r="H10" s="25" t="str">
        <x:v>西华</x:v>
      </x:c>
      <x:c r="I10" s="25" t="str">
        <x:v>formal</x:v>
      </x:c>
      <x:c r="J10" s="25" t="n">
        <x:v>117.20084167878814</x:v>
      </x:c>
      <x:c r="K10" s="25" t="n">
        <x:v>28.268869805732734</x:v>
      </x:c>
      <x:c r="L10" s="25" t="n">
        <x:v>117.19939762003003</x:v>
      </x:c>
      <x:c r="M10" s="25" t="n">
        <x:v>28.265645038106094</x:v>
      </x:c>
      <x:c r="N10" s="25" t="n">
        <x:v>385</x:v>
      </x:c>
      <x:c r="O10" s="25" t="n">
        <x:v>201.5</x:v>
      </x:c>
      <x:c r="P10" s="27" t="str">
        <x:v>LINESTRING(117.200842 28.268870, 117.199398 28.265645)</x:v>
      </x:c>
      <x:c r="Q10" s="27" t="str">
        <x:v>POLYGON((117.207491 28.266560, 117.206047 28.263335, 117.192748 28.267955, 117.194192 28.271179, 117.207491 28.266560))</x:v>
      </x:c>
      <x:c r="R10" s="25" t="n">
        <x:v>1400</x:v>
      </x:c>
      <x:c r="S10" s="25" t="str">
        <x:v>EPSG:4326</x:v>
      </x:c>
      <x:c r="T10" s="25" t="str">
        <x:v>作者路徑搜尋走廊</x:v>
      </x:c>
      <x:c r="U10" s="25" t="str">
        <x:v>estimated_auxiliary_constrained_corridor</x:v>
      </x:c>
      <x:c r="V10" s="25" t="str">
        <x:v>pending/review</x:v>
      </x:c>
      <x:c r="W10" s="25" t="str">
        <x:v>https://zh.wikisource.org/zh-hans/%E5%BE%90%E9%9C%9E%E5%AE%A2%E9%81%8A%E8%A8%98/%E6%B1%9F%E5%8F%B3%E9%81%8A%E6%97%A5%E8%A8%98</x:v>
      </x:c>
      <x:c r="X10" s="25" t="str">
        <x:v>https://www.shidianguji.com/book/HY2516/chapter/1kpc9d09e5vdm</x:v>
      </x:c>
      <x:c r="Y10" s="25" t="str">
        <x:v>https://www.shidianguji.com/book/HY2516/chapter/1kpc9d09e5vdm</x:v>
      </x:c>
      <x:c r="Z10" s="25" t="str">
        <x:v>同段 一线天→西华；輔助節點／原文里數／山脊河谷限制；方向 201.5°</x:v>
      </x:c>
    </x:row>
    <x:row r="11" ht="58.5" customHeight="1">
      <x:c r="A11" s="25" t="n">
        <x:v>24</x:v>
      </x:c>
      <x:c r="B11" s="25" t="str">
        <x:v>二十三日</x:v>
      </x:c>
      <x:c r="C11" s="25" t="str">
        <x:v>二十三日-A（三峰山）</x:v>
      </x:c>
      <x:c r="D11" s="25" t="str">
        <x:v>F-192</x:v>
      </x:c>
      <x:c r="E11" s="25" t="str">
        <x:v>西华</x:v>
      </x:c>
      <x:c r="F11" s="25" t="str">
        <x:v>formal</x:v>
      </x:c>
      <x:c r="G11" s="25" t="str">
        <x:v>F-195</x:v>
      </x:c>
      <x:c r="H11" s="25" t="str">
        <x:v>一线天</x:v>
      </x:c>
      <x:c r="I11" s="25" t="str">
        <x:v>formal</x:v>
      </x:c>
      <x:c r="J11" s="25" t="n">
        <x:v>117.19939762003003</x:v>
      </x:c>
      <x:c r="K11" s="25" t="n">
        <x:v>28.265645038106094</x:v>
      </x:c>
      <x:c r="L11" s="25" t="n">
        <x:v>117.20084167878814</x:v>
      </x:c>
      <x:c r="M11" s="25" t="n">
        <x:v>28.268869805732734</x:v>
      </x:c>
      <x:c r="N11" s="25" t="n">
        <x:v>385</x:v>
      </x:c>
      <x:c r="O11" s="25" t="n">
        <x:v>21.5</x:v>
      </x:c>
      <x:c r="P11" s="27" t="str">
        <x:v>LINESTRING(117.199398 28.265645, 117.200842 28.268870)</x:v>
      </x:c>
      <x:c r="Q11" s="27" t="str">
        <x:v>POLYGON((117.192748 28.267955, 117.194192 28.271179, 117.207491 28.266560, 117.206047 28.263335, 117.192748 28.267955))</x:v>
      </x:c>
      <x:c r="R11" s="25" t="n">
        <x:v>1400</x:v>
      </x:c>
      <x:c r="S11" s="25" t="str">
        <x:v>EPSG:4326</x:v>
      </x:c>
      <x:c r="T11" s="25" t="str">
        <x:v>作者路徑搜尋走廊</x:v>
      </x:c>
      <x:c r="U11" s="25" t="str">
        <x:v>estimated_auxiliary_constrained_corridor</x:v>
      </x:c>
      <x:c r="V11" s="25" t="str">
        <x:v>pending/review</x:v>
      </x:c>
      <x:c r="W11" s="25" t="str">
        <x:v>https://zh.wikisource.org/zh-hans/%E5%BE%90%E9%9C%9E%E5%AE%A2%E9%81%8A%E8%A8%98/%E6%B1%9F%E5%8F%B3%E9%81%8A%E6%97%A5%E8%A8%98</x:v>
      </x:c>
      <x:c r="X11" s="25" t="str">
        <x:v>https://www.shidianguji.com/book/HY2516/chapter/1kpc9d09e5vdm</x:v>
      </x:c>
      <x:c r="Y11" s="25" t="str">
        <x:v>https://www.shidianguji.com/book/HY2516/chapter/1kpc9d09e5vdm</x:v>
      </x:c>
      <x:c r="Z11" s="25" t="str">
        <x:v>同段 西华→一线天；輔助節點／原文里數／山脊河谷限制；方向 21.5°</x:v>
      </x:c>
    </x:row>
    <x:row r="12" ht="58.5" customHeight="1">
      <x:c r="A12" s="25" t="n">
        <x:v>25</x:v>
      </x:c>
      <x:c r="B12" s="25" t="str">
        <x:v>二十三日</x:v>
      </x:c>
      <x:c r="C12" s="25" t="str">
        <x:v>二十三日-A（三峰山）</x:v>
      </x:c>
      <x:c r="D12" s="25" t="str">
        <x:v>F-195</x:v>
      </x:c>
      <x:c r="E12" s="25" t="str">
        <x:v>一线天</x:v>
      </x:c>
      <x:c r="F12" s="25" t="str">
        <x:v>formal</x:v>
      </x:c>
      <x:c r="G12" s="25" t="str">
        <x:v>F-196</x:v>
      </x:c>
      <x:c r="H12" s="25" t="str">
        <x:v>西华</x:v>
      </x:c>
      <x:c r="I12" s="25" t="str">
        <x:v>formal</x:v>
      </x:c>
      <x:c r="J12" s="25" t="n">
        <x:v>117.20084167878814</x:v>
      </x:c>
      <x:c r="K12" s="25" t="n">
        <x:v>28.268869805732734</x:v>
      </x:c>
      <x:c r="L12" s="25" t="n">
        <x:v>117.19939762003003</x:v>
      </x:c>
      <x:c r="M12" s="25" t="n">
        <x:v>28.265645038106094</x:v>
      </x:c>
      <x:c r="N12" s="25" t="n">
        <x:v>385</x:v>
      </x:c>
      <x:c r="O12" s="25" t="n">
        <x:v>201.5</x:v>
      </x:c>
      <x:c r="P12" s="27" t="str">
        <x:v>LINESTRING(117.200842 28.268870, 117.199398 28.265645)</x:v>
      </x:c>
      <x:c r="Q12" s="27" t="str">
        <x:v>POLYGON((117.207491 28.266560, 117.206047 28.263335, 117.192748 28.267955, 117.194192 28.271179, 117.207491 28.266560))</x:v>
      </x:c>
      <x:c r="R12" s="25" t="n">
        <x:v>1400</x:v>
      </x:c>
      <x:c r="S12" s="25" t="str">
        <x:v>EPSG:4326</x:v>
      </x:c>
      <x:c r="T12" s="25" t="str">
        <x:v>作者路徑搜尋走廊</x:v>
      </x:c>
      <x:c r="U12" s="25" t="str">
        <x:v>estimated_auxiliary_constrained_corridor</x:v>
      </x:c>
      <x:c r="V12" s="25" t="str">
        <x:v>pending/review</x:v>
      </x:c>
      <x:c r="W12" s="25" t="str">
        <x:v>https://zh.wikisource.org/zh-hans/%E5%BE%90%E9%9C%9E%E5%AE%A2%E9%81%8A%E8%A8%98/%E6%B1%9F%E5%8F%B3%E9%81%8A%E6%97%A5%E8%A8%98</x:v>
      </x:c>
      <x:c r="X12" s="25" t="str">
        <x:v>https://www.shidianguji.com/book/HY2516/chapter/1kpc9d09e5vdm</x:v>
      </x:c>
      <x:c r="Y12" s="25" t="str">
        <x:v>https://www.shidianguji.com/book/HY2516/chapter/1kpc9d09e5vdm</x:v>
      </x:c>
      <x:c r="Z12" s="25" t="str">
        <x:v>同段 一线天→西华；輔助節點／原文里數／山脊河谷限制；方向 201.5°</x:v>
      </x:c>
    </x:row>
    <x:row r="13" ht="58.5" customHeight="1">
      <x:c r="A13" s="25" t="n">
        <x:v>26</x:v>
      </x:c>
      <x:c r="B13" s="25" t="str">
        <x:v>二十三日</x:v>
      </x:c>
      <x:c r="C13" s="25" t="str">
        <x:v>二十三日-A（三峰山）</x:v>
      </x:c>
      <x:c r="D13" s="25" t="str">
        <x:v>F-196</x:v>
      </x:c>
      <x:c r="E13" s="25" t="str">
        <x:v>西华</x:v>
      </x:c>
      <x:c r="F13" s="25" t="str">
        <x:v>formal</x:v>
      </x:c>
      <x:c r="G13" s="25" t="str">
        <x:v>F-197</x:v>
      </x:c>
      <x:c r="H13" s="25" t="str">
        <x:v>一线天</x:v>
      </x:c>
      <x:c r="I13" s="25" t="str">
        <x:v>formal</x:v>
      </x:c>
      <x:c r="J13" s="25" t="n">
        <x:v>117.19939762003003</x:v>
      </x:c>
      <x:c r="K13" s="25" t="n">
        <x:v>28.265645038106094</x:v>
      </x:c>
      <x:c r="L13" s="25" t="n">
        <x:v>117.20084167878814</x:v>
      </x:c>
      <x:c r="M13" s="25" t="n">
        <x:v>28.268869805732734</x:v>
      </x:c>
      <x:c r="N13" s="25" t="n">
        <x:v>385</x:v>
      </x:c>
      <x:c r="O13" s="25" t="n">
        <x:v>21.5</x:v>
      </x:c>
      <x:c r="P13" s="27" t="str">
        <x:v>LINESTRING(117.199398 28.265645, 117.200842 28.268870)</x:v>
      </x:c>
      <x:c r="Q13" s="27" t="str">
        <x:v>POLYGON((117.192748 28.267955, 117.194192 28.271179, 117.207491 28.266560, 117.206047 28.263335, 117.192748 28.267955))</x:v>
      </x:c>
      <x:c r="R13" s="25" t="n">
        <x:v>1400</x:v>
      </x:c>
      <x:c r="S13" s="25" t="str">
        <x:v>EPSG:4326</x:v>
      </x:c>
      <x:c r="T13" s="25" t="str">
        <x:v>作者路徑搜尋走廊</x:v>
      </x:c>
      <x:c r="U13" s="25" t="str">
        <x:v>estimated_auxiliary_constrained_corridor</x:v>
      </x:c>
      <x:c r="V13" s="25" t="str">
        <x:v>pending/review</x:v>
      </x:c>
      <x:c r="W13" s="25" t="str">
        <x:v>https://zh.wikisource.org/zh-hans/%E5%BE%90%E9%9C%9E%E5%AE%A2%E9%81%8A%E8%A8%98/%E6%B1%9F%E5%8F%B3%E9%81%8A%E6%97%A5%E8%A8%98</x:v>
      </x:c>
      <x:c r="X13" s="25" t="str">
        <x:v>https://www.shidianguji.com/book/HY2516/chapter/1kpc9d09e5vdm</x:v>
      </x:c>
      <x:c r="Y13" s="25" t="str">
        <x:v>https://www.shidianguji.com/book/HY2516/chapter/1kpc9d09e5vdm</x:v>
      </x:c>
      <x:c r="Z13" s="25" t="str">
        <x:v>同段 西华→一线天；輔助節點／原文里數／山脊河谷限制；方向 21.5°</x:v>
      </x:c>
    </x:row>
    <x:row r="14" ht="58.5" customHeight="1">
      <x:c r="A14" s="25" t="n">
        <x:v>27</x:v>
      </x:c>
      <x:c r="B14" s="25" t="str">
        <x:v>二十三日</x:v>
      </x:c>
      <x:c r="C14" s="25" t="str">
        <x:v>二十三日-A（三峰山）</x:v>
      </x:c>
      <x:c r="D14" s="25" t="str">
        <x:v>F-197</x:v>
      </x:c>
      <x:c r="E14" s="25" t="str">
        <x:v>一线天</x:v>
      </x:c>
      <x:c r="F14" s="25" t="str">
        <x:v>formal</x:v>
      </x:c>
      <x:c r="G14" s="25" t="str">
        <x:v>23A-03</x:v>
      </x:c>
      <x:c r="H14" s="25" t="str">
        <x:v>徐岩／朝真宮</x:v>
      </x:c>
      <x:c r="I14" s="25" t="str">
        <x:v>aux</x:v>
      </x:c>
      <x:c r="J14" s="25" t="n">
        <x:v>117.20084167878814</x:v>
      </x:c>
      <x:c r="K14" s="25" t="n">
        <x:v>28.268869805732734</x:v>
      </x:c>
      <x:c r="L14" s="25" t="n">
        <x:v>117.21056349002849</x:v>
      </x:c>
      <x:c r="M14" s="25" t="n">
        <x:v>28.275569897087937</x:v>
      </x:c>
      <x:c r="N14" s="25" t="n">
        <x:v>1209</x:v>
      </x:c>
      <x:c r="O14" s="25" t="n">
        <x:v>52</x:v>
      </x:c>
      <x:c r="P14" s="27" t="str">
        <x:v>LINESTRING(117.200842 28.268870, 117.210563 28.275570)</x:v>
      </x:c>
      <x:c r="Q14" s="27" t="str">
        <x:v>POLYGON((117.196436 28.273827, 117.206158 28.280527, 117.214969 28.270612, 117.205247 28.263912, 117.196436 28.273827))</x:v>
      </x:c>
      <x:c r="R14" s="25" t="n">
        <x:v>1400</x:v>
      </x:c>
      <x:c r="S14" s="25" t="str">
        <x:v>EPSG:4326</x:v>
      </x:c>
      <x:c r="T14" s="25" t="str">
        <x:v>作者路徑搜尋走廊</x:v>
      </x:c>
      <x:c r="U14" s="25" t="str">
        <x:v>estimated_auxiliary_constrained_corridor</x:v>
      </x:c>
      <x:c r="V14" s="25" t="str">
        <x:v>pending/review</x:v>
      </x:c>
      <x:c r="W14" s="25" t="str">
        <x:v>https://zh.wikisource.org/zh-hans/%E5%BE%90%E9%9C%9E%E5%AE%A2%E9%81%8A%E8%A8%98/%E6%B1%9F%E5%8F%B3%E9%81%8A%E6%97%A5%E8%A8%98</x:v>
      </x:c>
      <x:c r="X14" s="25" t="str">
        <x:v>https://www.shidianguji.com/book/HY2516/chapter/1kpc9d09e5vdm</x:v>
      </x:c>
      <x:c r="Y14" s="25" t="str">
        <x:v>https://www.amap.com/place/B0KG0DFDHG</x:v>
      </x:c>
      <x:c r="Z14" s="25" t="str">
        <x:v>同段 一线天→徐岩／朝真宮；輔助節點／原文里數／山脊河谷限制；方向 52.0°</x:v>
      </x:c>
    </x:row>
    <x:row r="15" ht="58.5" customHeight="1">
      <x:c r="A15" s="25" t="n">
        <x:v>28</x:v>
      </x:c>
      <x:c r="B15" s="25" t="str">
        <x:v>二十三日</x:v>
      </x:c>
      <x:c r="C15" s="25" t="str">
        <x:v>二十三日-B（曹山至朱溪）</x:v>
      </x:c>
      <x:c r="D15" s="25" t="str">
        <x:v>23B-01</x:v>
      </x:c>
      <x:c r="E15" s="25" t="str">
        <x:v>曹山</x:v>
      </x:c>
      <x:c r="F15" s="25" t="str">
        <x:v>aux</x:v>
      </x:c>
      <x:c r="G15" s="25" t="str">
        <x:v>23B-02</x:v>
      </x:c>
      <x:c r="H15" s="25" t="str">
        <x:v>陳坊木橋</x:v>
      </x:c>
      <x:c r="I15" s="25" t="str">
        <x:v>aux</x:v>
      </x:c>
      <x:c r="J15" s="25" t="n">
        <x:v>116.1083554</x:v>
      </x:c>
      <x:c r="K15" s="25" t="n">
        <x:v>27.5621533</x:v>
      </x:c>
      <x:c r="L15" s="25" t="n">
        <x:v>116.09858461627907</x:v>
      </x:c>
      <x:c r="M15" s="25" t="n">
        <x:v>27.55698896744186</x:v>
      </x:c>
      <x:c r="N15" s="25" t="n">
        <x:v>1121</x:v>
      </x:c>
      <x:c r="O15" s="25" t="n">
        <x:v>239.2</x:v>
      </x:c>
      <x:c r="P15" s="27" t="str">
        <x:v>LINESTRING(116.108355 27.562153, 116.098585 27.556989)</x:v>
      </x:c>
      <x:c r="Q15" s="27" t="str">
        <x:v>POLYGON((116.112511 27.555973, 116.102740 27.550809, 116.094429 27.563169, 116.104199 27.568333, 116.112511 27.555973))</x:v>
      </x:c>
      <x:c r="R15" s="25" t="n">
        <x:v>1600</x:v>
      </x:c>
      <x:c r="S15" s="25" t="str">
        <x:v>EPSG:4326</x:v>
      </x:c>
      <x:c r="T15" s="25" t="str">
        <x:v>作者路徑搜尋走廊</x:v>
      </x:c>
      <x:c r="U15" s="25" t="str">
        <x:v>estimated_auxiliary_constrained_corridor</x:v>
      </x:c>
      <x:c r="V15" s="25" t="str">
        <x:v>pending/review</x:v>
      </x:c>
      <x:c r="W15" s="25" t="str">
        <x:v>https://zh.wikisource.org/zh-hans/%E5%BE%90%E9%9C%9E%E5%AE%A2%E9%81%8A%E8%A8%98/%E6%B1%9F%E5%8F%B3%E9%81%8A%E6%97%A5%E8%A8%98</x:v>
      </x:c>
      <x:c r="X15" s="25" t="str">
        <x:v>https://www.openstreetmap.org/node/11838197068</x:v>
      </x:c>
      <x:c r="Y15" s="25" t="str">
        <x:v>https://zh.wikisource.org/zh-hans/%E5%BE%90%E9%9C%9E%E5%AE%A2%E9%81%8A%E8%A8%98/%E6%B1%9F%E5%8F%B3%E9%81%8A%E6%97%A5%E8%A8%98</x:v>
      </x:c>
      <x:c r="Z15" s="25" t="str">
        <x:v>同段 曹山→陳坊木橋；輔助節點／原文里數／山脊河谷限制；方向 239.2°</x:v>
      </x:c>
    </x:row>
    <x:row r="16" ht="58.5" customHeight="1">
      <x:c r="A16" s="25" t="n">
        <x:v>29</x:v>
      </x:c>
      <x:c r="B16" s="25" t="str">
        <x:v>二十三日</x:v>
      </x:c>
      <x:c r="C16" s="25" t="str">
        <x:v>二十三日-B（曹山至朱溪）</x:v>
      </x:c>
      <x:c r="D16" s="25" t="str">
        <x:v>23B-02</x:v>
      </x:c>
      <x:c r="E16" s="25" t="str">
        <x:v>陳坊木橋</x:v>
      </x:c>
      <x:c r="F16" s="25" t="str">
        <x:v>aux</x:v>
      </x:c>
      <x:c r="G16" s="25" t="str">
        <x:v>23B-03</x:v>
      </x:c>
      <x:c r="H16" s="25" t="str">
        <x:v>鵬風橋</x:v>
      </x:c>
      <x:c r="I16" s="25" t="str">
        <x:v>aux</x:v>
      </x:c>
      <x:c r="J16" s="25" t="n">
        <x:v>116.09858461627907</x:v>
      </x:c>
      <x:c r="K16" s="25" t="n">
        <x:v>27.55698896744186</x:v>
      </x:c>
      <x:c r="L16" s="25" t="n">
        <x:v>116.0920707604651</x:v>
      </x:c>
      <x:c r="M16" s="25" t="n">
        <x:v>27.553546079069765</x:v>
      </x:c>
      <x:c r="N16" s="25" t="n">
        <x:v>748</x:v>
      </x:c>
      <x:c r="O16" s="25" t="n">
        <x:v>239.2</x:v>
      </x:c>
      <x:c r="P16" s="27" t="str">
        <x:v>LINESTRING(116.098585 27.556989, 116.092071 27.553546)</x:v>
      </x:c>
      <x:c r="Q16" s="27" t="str">
        <x:v>POLYGON((116.102740 27.550809, 116.096226 27.547366, 116.087915 27.559726, 116.094429 27.563169, 116.102740 27.550809))</x:v>
      </x:c>
      <x:c r="R16" s="25" t="n">
        <x:v>1600</x:v>
      </x:c>
      <x:c r="S16" s="25" t="str">
        <x:v>EPSG:4326</x:v>
      </x:c>
      <x:c r="T16" s="25" t="str">
        <x:v>作者路徑搜尋走廊</x:v>
      </x:c>
      <x:c r="U16" s="25" t="str">
        <x:v>estimated_auxiliary_constrained_corridor</x:v>
      </x:c>
      <x:c r="V16" s="25" t="str">
        <x:v>pending/review</x:v>
      </x:c>
      <x:c r="W16" s="25" t="str">
        <x:v>https://zh.wikisource.org/zh-hans/%E5%BE%90%E9%9C%9E%E5%AE%A2%E9%81%8A%E8%A8%98/%E6%B1%9F%E5%8F%B3%E9%81%8A%E6%97%A5%E8%A8%98</x:v>
      </x:c>
      <x:c r="X16" s="25" t="str">
        <x:v>https://zh.wikisource.org/zh-hans/%E5%BE%90%E9%9C%9E%E5%AE%A2%E9%81%8A%E8%A8%98/%E6%B1%9F%E5%8F%B3%E9%81%8A%E6%97%A5%E8%A8%98</x:v>
      </x:c>
      <x:c r="Y16" s="25" t="str">
        <x:v>https://zh.wikisource.org/zh-hans/%E5%BE%90%E9%9C%9E%E5%AE%A2%E9%81%8A%E8%A8%98/%E6%B1%9F%E5%8F%B3%E9%81%8A%E6%97%A5%E8%A8%98</x:v>
      </x:c>
      <x:c r="Z16" s="25" t="str">
        <x:v>同段 陳坊木橋→鵬風橋；輔助節點／原文里數／山脊河谷限制；方向 239.2°</x:v>
      </x:c>
    </x:row>
    <x:row r="17" ht="58.5" customHeight="1">
      <x:c r="A17" s="25" t="n">
        <x:v>30</x:v>
      </x:c>
      <x:c r="B17" s="25" t="str">
        <x:v>二十三日</x:v>
      </x:c>
      <x:c r="C17" s="25" t="str">
        <x:v>二十三日-B（曹山至朱溪）</x:v>
      </x:c>
      <x:c r="D17" s="25" t="str">
        <x:v>23B-03</x:v>
      </x:c>
      <x:c r="E17" s="25" t="str">
        <x:v>鵬風橋</x:v>
      </x:c>
      <x:c r="F17" s="25" t="str">
        <x:v>aux</x:v>
      </x:c>
      <x:c r="G17" s="25" t="str">
        <x:v>23B-04</x:v>
      </x:c>
      <x:c r="H17" s="25" t="str">
        <x:v>接龍橋</x:v>
      </x:c>
      <x:c r="I17" s="25" t="str">
        <x:v>aux</x:v>
      </x:c>
      <x:c r="J17" s="25" t="n">
        <x:v>116.0920707604651</x:v>
      </x:c>
      <x:c r="K17" s="25" t="n">
        <x:v>27.553546079069765</x:v>
      </x:c>
      <x:c r="L17" s="25" t="n">
        <x:v>116.08229997674418</x:v>
      </x:c>
      <x:c r="M17" s="25" t="n">
        <x:v>27.548381746511627</x:v>
      </x:c>
      <x:c r="N17" s="25" t="n">
        <x:v>1121</x:v>
      </x:c>
      <x:c r="O17" s="25" t="n">
        <x:v>239.2</x:v>
      </x:c>
      <x:c r="P17" s="27" t="str">
        <x:v>LINESTRING(116.092071 27.553546, 116.082300 27.548382)</x:v>
      </x:c>
      <x:c r="Q17" s="27" t="str">
        <x:v>POLYGON((116.096226 27.547366, 116.086455 27.542202, 116.078145 27.554562, 116.087915 27.559726, 116.096226 27.547366))</x:v>
      </x:c>
      <x:c r="R17" s="25" t="n">
        <x:v>1600</x:v>
      </x:c>
      <x:c r="S17" s="25" t="str">
        <x:v>EPSG:4326</x:v>
      </x:c>
      <x:c r="T17" s="25" t="str">
        <x:v>作者路徑搜尋走廊</x:v>
      </x:c>
      <x:c r="U17" s="25" t="str">
        <x:v>estimated_auxiliary_constrained_corridor</x:v>
      </x:c>
      <x:c r="V17" s="25" t="str">
        <x:v>pending/review</x:v>
      </x:c>
      <x:c r="W17" s="25" t="str">
        <x:v>https://zh.wikisource.org/zh-hans/%E5%BE%90%E9%9C%9E%E5%AE%A2%E9%81%8A%E8%A8%98/%E6%B1%9F%E5%8F%B3%E9%81%8A%E6%97%A5%E8%A8%98</x:v>
      </x:c>
      <x:c r="X17" s="25" t="str">
        <x:v>https://zh.wikisource.org/zh-hans/%E5%BE%90%E9%9C%9E%E5%AE%A2%E9%81%8A%E8%A8%98/%E6%B1%9F%E5%8F%B3%E9%81%8A%E6%97%A5%E8%A8%98</x:v>
      </x:c>
      <x:c r="Y17" s="25" t="str">
        <x:v>https://zh.wikisource.org/zh-hans/%E5%BE%90%E9%9C%9E%E5%AE%A2%E9%81%8A%E8%A8%98/%E6%B1%9F%E5%8F%B3%E9%81%8A%E6%97%A5%E8%A8%98</x:v>
      </x:c>
      <x:c r="Z17" s="25" t="str">
        <x:v>同段 鵬風橋→接龍橋；輔助節點／原文里數／山脊河谷限制；方向 239.2°</x:v>
      </x:c>
    </x:row>
    <x:row r="18" ht="58.5" customHeight="1">
      <x:c r="A18" s="25" t="n">
        <x:v>31</x:v>
      </x:c>
      <x:c r="B18" s="25" t="str">
        <x:v>二十三日</x:v>
      </x:c>
      <x:c r="C18" s="25" t="str">
        <x:v>二十三日-B（曹山至朱溪）</x:v>
      </x:c>
      <x:c r="D18" s="25" t="str">
        <x:v>23B-04</x:v>
      </x:c>
      <x:c r="E18" s="25" t="str">
        <x:v>接龍橋</x:v>
      </x:c>
      <x:c r="F18" s="25" t="str">
        <x:v>aux</x:v>
      </x:c>
      <x:c r="G18" s="25" t="str">
        <x:v>F-626</x:v>
      </x:c>
      <x:c r="H18" s="25" t="str">
        <x:v>大霍岭</x:v>
      </x:c>
      <x:c r="I18" s="25" t="str">
        <x:v>formal</x:v>
      </x:c>
      <x:c r="J18" s="25" t="n">
        <x:v>116.08229997674418</x:v>
      </x:c>
      <x:c r="K18" s="25" t="n">
        <x:v>27.548381746511627</x:v>
      </x:c>
      <x:c r="L18" s="25" t="n">
        <x:v>116.07415765697674</x:v>
      </x:c>
      <x:c r="M18" s="25" t="n">
        <x:v>27.54407813604651</x:v>
      </x:c>
      <x:c r="N18" s="25" t="n">
        <x:v>935</x:v>
      </x:c>
      <x:c r="O18" s="25" t="n">
        <x:v>239.2</x:v>
      </x:c>
      <x:c r="P18" s="27" t="str">
        <x:v>LINESTRING(116.082300 27.548382, 116.074158 27.544078)</x:v>
      </x:c>
      <x:c r="Q18" s="27" t="str">
        <x:v>POLYGON((116.086455 27.542202, 116.078312 27.537898, 116.070003 27.550258, 116.078145 27.554562, 116.086455 27.542202))</x:v>
      </x:c>
      <x:c r="R18" s="25" t="n">
        <x:v>1600</x:v>
      </x:c>
      <x:c r="S18" s="25" t="str">
        <x:v>EPSG:4326</x:v>
      </x:c>
      <x:c r="T18" s="25" t="str">
        <x:v>作者路徑搜尋走廊</x:v>
      </x:c>
      <x:c r="U18" s="25" t="str">
        <x:v>estimated_auxiliary_constrained_corridor</x:v>
      </x:c>
      <x:c r="V18" s="25" t="str">
        <x:v>pending/review</x:v>
      </x:c>
      <x:c r="W18" s="25" t="str">
        <x:v>https://zh.wikisource.org/zh-hans/%E5%BE%90%E9%9C%9E%E5%AE%A2%E9%81%8A%E8%A8%98/%E6%B1%9F%E5%8F%B3%E9%81%8A%E6%97%A5%E8%A8%98</x:v>
      </x:c>
      <x:c r="X18" s="25" t="str">
        <x:v>https://zh.wikisource.org/zh-hans/%E5%BE%90%E9%9C%9E%E5%AE%A2%E9%81%8A%E8%A8%98/%E6%B1%9F%E5%8F%B3%E9%81%8A%E6%97%A5%E8%A8%98</x:v>
      </x:c>
      <x:c r="Y18" s="25" t="str">
        <x:v>https://zh.wikisource.org/zh-hans/%E5%BE%90%E9%9C%9E%E5%AE%A2%E9%81%8A%E8%A8%98/%E6%B1%9F%E5%8F%B3%E9%81%8A%E6%97%A5%E8%A8%98</x:v>
      </x:c>
      <x:c r="Z18" s="25" t="str">
        <x:v>同段 接龍橋→大霍岭；輔助節點／原文里數／山脊河谷限制；方向 239.2°</x:v>
      </x:c>
    </x:row>
    <x:row r="19" ht="58.5" customHeight="1">
      <x:c r="A19" s="25" t="n">
        <x:v>32</x:v>
      </x:c>
      <x:c r="B19" s="25" t="str">
        <x:v>二十三日</x:v>
      </x:c>
      <x:c r="C19" s="25" t="str">
        <x:v>二十三日-B（曹山至朱溪）</x:v>
      </x:c>
      <x:c r="D19" s="25" t="str">
        <x:v>F-626</x:v>
      </x:c>
      <x:c r="E19" s="25" t="str">
        <x:v>大霍岭</x:v>
      </x:c>
      <x:c r="F19" s="25" t="str">
        <x:v>formal</x:v>
      </x:c>
      <x:c r="G19" s="25" t="str">
        <x:v>F-627</x:v>
      </x:c>
      <x:c r="H19" s="25" t="str">
        <x:v>龙骨山</x:v>
      </x:c>
      <x:c r="I19" s="25" t="str">
        <x:v>formal</x:v>
      </x:c>
      <x:c r="J19" s="25" t="n">
        <x:v>116.07415765697674</x:v>
      </x:c>
      <x:c r="K19" s="25" t="n">
        <x:v>27.54407813604651</x:v>
      </x:c>
      <x:c r="L19" s="25" t="n">
        <x:v>116.07090072906976</x:v>
      </x:c>
      <x:c r="M19" s="25" t="n">
        <x:v>27.542356691860466</x:v>
      </x:c>
      <x:c r="N19" s="25" t="n">
        <x:v>374</x:v>
      </x:c>
      <x:c r="O19" s="25" t="n">
        <x:v>239.2</x:v>
      </x:c>
      <x:c r="P19" s="27" t="str">
        <x:v>LINESTRING(116.074158 27.544078, 116.070901 27.542357)</x:v>
      </x:c>
      <x:c r="Q19" s="27" t="str">
        <x:v>POLYGON((116.078312 27.537898, 116.075055 27.536177, 116.066746 27.548537, 116.070003 27.550258, 116.078312 27.537898))</x:v>
      </x:c>
      <x:c r="R19" s="25" t="n">
        <x:v>1600</x:v>
      </x:c>
      <x:c r="S19" s="25" t="str">
        <x:v>EPSG:4326</x:v>
      </x:c>
      <x:c r="T19" s="25" t="str">
        <x:v>作者路徑搜尋走廊</x:v>
      </x:c>
      <x:c r="U19" s="25" t="str">
        <x:v>estimated_auxiliary_constrained_corridor</x:v>
      </x:c>
      <x:c r="V19" s="25" t="str">
        <x:v>pending/review</x:v>
      </x:c>
      <x:c r="W19" s="25" t="str">
        <x:v>https://zh.wikisource.org/zh-hans/%E5%BE%90%E9%9C%9E%E5%AE%A2%E9%81%8A%E8%A8%98/%E6%B1%9F%E5%8F%B3%E9%81%8A%E6%97%A5%E8%A8%98</x:v>
      </x:c>
      <x:c r="X19" s="25" t="str">
        <x:v>https://zh.wikisource.org/zh-hans/%E5%BE%90%E9%9C%9E%E5%AE%A2%E9%81%8A%E8%A8%98/%E6%B1%9F%E5%8F%B3%E9%81%8A%E6%97%A5%E8%A8%98</x:v>
      </x:c>
      <x:c r="Y19" s="25" t="str">
        <x:v>https://zh.wikisource.org/zh-hans/%E5%BE%90%E9%9C%9E%E5%AE%A2%E9%81%8A%E8%A8%98/%E6%B1%9F%E5%8F%B3%E9%81%8A%E6%97%A5%E8%A8%98</x:v>
      </x:c>
      <x:c r="Z19" s="25" t="str">
        <x:v>同段 大霍岭→龙骨山；輔助節點／原文里數／山脊河谷限制；方向 239.2°</x:v>
      </x:c>
    </x:row>
    <x:row r="20" ht="58.5" customHeight="1">
      <x:c r="A20" s="25" t="n">
        <x:v>33</x:v>
      </x:c>
      <x:c r="B20" s="25" t="str">
        <x:v>二十三日</x:v>
      </x:c>
      <x:c r="C20" s="25" t="str">
        <x:v>二十三日-B（曹山至朱溪）</x:v>
      </x:c>
      <x:c r="D20" s="25" t="str">
        <x:v>F-627</x:v>
      </x:c>
      <x:c r="E20" s="25" t="str">
        <x:v>龙骨山</x:v>
      </x:c>
      <x:c r="F20" s="25" t="str">
        <x:v>formal</x:v>
      </x:c>
      <x:c r="G20" s="25" t="str">
        <x:v>F-628</x:v>
      </x:c>
      <x:c r="H20" s="25" t="str">
        <x:v>骨岭</x:v>
      </x:c>
      <x:c r="I20" s="25" t="str">
        <x:v>formal</x:v>
      </x:c>
      <x:c r="J20" s="25" t="n">
        <x:v>116.07090072906976</x:v>
      </x:c>
      <x:c r="K20" s="25" t="n">
        <x:v>27.542356691860466</x:v>
      </x:c>
      <x:c r="L20" s="25" t="n">
        <x:v>116.06438687325581</x:v>
      </x:c>
      <x:c r="M20" s="25" t="n">
        <x:v>27.53891380348837</x:v>
      </x:c>
      <x:c r="N20" s="25" t="n">
        <x:v>748</x:v>
      </x:c>
      <x:c r="O20" s="25" t="n">
        <x:v>239.2</x:v>
      </x:c>
      <x:c r="P20" s="27" t="str">
        <x:v>LINESTRING(116.070901 27.542357, 116.064387 27.538914)</x:v>
      </x:c>
      <x:c r="Q20" s="27" t="str">
        <x:v>POLYGON((116.075055 27.536177, 116.068541 27.532734, 116.060232 27.545094, 116.066746 27.548537, 116.075055 27.536177))</x:v>
      </x:c>
      <x:c r="R20" s="25" t="n">
        <x:v>1600</x:v>
      </x:c>
      <x:c r="S20" s="25" t="str">
        <x:v>EPSG:4326</x:v>
      </x:c>
      <x:c r="T20" s="25" t="str">
        <x:v>作者路徑搜尋走廊</x:v>
      </x:c>
      <x:c r="U20" s="25" t="str">
        <x:v>estimated_auxiliary_constrained_corridor</x:v>
      </x:c>
      <x:c r="V20" s="25" t="str">
        <x:v>pending/review</x:v>
      </x:c>
      <x:c r="W20" s="25" t="str">
        <x:v>https://zh.wikisource.org/zh-hans/%E5%BE%90%E9%9C%9E%E5%AE%A2%E9%81%8A%E8%A8%98/%E6%B1%9F%E5%8F%B3%E9%81%8A%E6%97%A5%E8%A8%98</x:v>
      </x:c>
      <x:c r="X20" s="25" t="str">
        <x:v>https://zh.wikisource.org/zh-hans/%E5%BE%90%E9%9C%9E%E5%AE%A2%E9%81%8A%E8%A8%98/%E6%B1%9F%E5%8F%B3%E9%81%8A%E6%97%A5%E8%A8%98</x:v>
      </x:c>
      <x:c r="Y20" s="25" t="str">
        <x:v>https://zh.wikisource.org/zh-hans/%E5%BE%90%E9%9C%9E%E5%AE%A2%E9%81%8A%E8%A8%98/%E6%B1%9F%E5%8F%B3%E9%81%8A%E6%97%A5%E8%A8%98</x:v>
      </x:c>
      <x:c r="Z20" s="25" t="str">
        <x:v>同段 龙骨山→骨岭；輔助節點／原文里數／山脊河谷限制；方向 239.2°</x:v>
      </x:c>
    </x:row>
    <x:row r="21" ht="58.5" customHeight="1">
      <x:c r="A21" s="25" t="n">
        <x:v>34</x:v>
      </x:c>
      <x:c r="B21" s="25" t="str">
        <x:v>二十三日</x:v>
      </x:c>
      <x:c r="C21" s="25" t="str">
        <x:v>二十三日-B（曹山至朱溪）</x:v>
      </x:c>
      <x:c r="D21" s="25" t="str">
        <x:v>F-628</x:v>
      </x:c>
      <x:c r="E21" s="25" t="str">
        <x:v>骨岭</x:v>
      </x:c>
      <x:c r="F21" s="25" t="str">
        <x:v>formal</x:v>
      </x:c>
      <x:c r="G21" s="25" t="str">
        <x:v>F-629</x:v>
      </x:c>
      <x:c r="H21" s="25" t="str">
        <x:v>幞头岭</x:v>
      </x:c>
      <x:c r="I21" s="25" t="str">
        <x:v>formal</x:v>
      </x:c>
      <x:c r="J21" s="25" t="n">
        <x:v>116.06438687325581</x:v>
      </x:c>
      <x:c r="K21" s="25" t="n">
        <x:v>27.53891380348837</x:v>
      </x:c>
      <x:c r="L21" s="25" t="n">
        <x:v>116.05461608953487</x:v>
      </x:c>
      <x:c r="M21" s="25" t="n">
        <x:v>27.533749470930232</x:v>
      </x:c>
      <x:c r="N21" s="25" t="n">
        <x:v>1122</x:v>
      </x:c>
      <x:c r="O21" s="25" t="n">
        <x:v>239.2</x:v>
      </x:c>
      <x:c r="P21" s="27" t="str">
        <x:v>LINESTRING(116.064387 27.538914, 116.054616 27.533749)</x:v>
      </x:c>
      <x:c r="Q21" s="27" t="str">
        <x:v>POLYGON((116.068541 27.532734, 116.058770 27.527569, 116.050462 27.539930, 116.060232 27.545094, 116.068541 27.532734))</x:v>
      </x:c>
      <x:c r="R21" s="25" t="n">
        <x:v>1600</x:v>
      </x:c>
      <x:c r="S21" s="25" t="str">
        <x:v>EPSG:4326</x:v>
      </x:c>
      <x:c r="T21" s="25" t="str">
        <x:v>作者路徑搜尋走廊</x:v>
      </x:c>
      <x:c r="U21" s="25" t="str">
        <x:v>estimated_auxiliary_constrained_corridor</x:v>
      </x:c>
      <x:c r="V21" s="25" t="str">
        <x:v>pending/review</x:v>
      </x:c>
      <x:c r="W21" s="25" t="str">
        <x:v>https://zh.wikisource.org/zh-hans/%E5%BE%90%E9%9C%9E%E5%AE%A2%E9%81%8A%E8%A8%98/%E6%B1%9F%E5%8F%B3%E9%81%8A%E6%97%A5%E8%A8%98</x:v>
      </x:c>
      <x:c r="X21" s="25" t="str">
        <x:v>https://zh.wikisource.org/zh-hans/%E5%BE%90%E9%9C%9E%E5%AE%A2%E9%81%8A%E8%A8%98/%E6%B1%9F%E5%8F%B3%E9%81%8A%E6%97%A5%E8%A8%98</x:v>
      </x:c>
      <x:c r="Y21" s="25" t="str">
        <x:v>https://zh.wikisource.org/zh-hans/%E5%BE%90%E9%9C%9E%E5%AE%A2%E9%81%8A%E8%A8%98/%E6%B1%9F%E5%8F%B3%E9%81%8A%E6%97%A5%E8%A8%98</x:v>
      </x:c>
      <x:c r="Z21" s="25" t="str">
        <x:v>同段 骨岭→幞头岭；輔助節點／原文里數／山脊河谷限制；方向 239.2°</x:v>
      </x:c>
    </x:row>
    <x:row r="22" ht="58.5" customHeight="1">
      <x:c r="A22" s="25" t="n">
        <x:v>35</x:v>
      </x:c>
      <x:c r="B22" s="25" t="str">
        <x:v>二十三日</x:v>
      </x:c>
      <x:c r="C22" s="25" t="str">
        <x:v>二十三日-B（曹山至朱溪）</x:v>
      </x:c>
      <x:c r="D22" s="25" t="str">
        <x:v>F-629</x:v>
      </x:c>
      <x:c r="E22" s="25" t="str">
        <x:v>幞头岭</x:v>
      </x:c>
      <x:c r="F22" s="25" t="str">
        <x:v>formal</x:v>
      </x:c>
      <x:c r="G22" s="25" t="str">
        <x:v>F-630</x:v>
      </x:c>
      <x:c r="H22" s="25" t="str">
        <x:v>纯乡</x:v>
      </x:c>
      <x:c r="I22" s="25" t="str">
        <x:v>formal</x:v>
      </x:c>
      <x:c r="J22" s="25" t="n">
        <x:v>116.05461608953487</x:v>
      </x:c>
      <x:c r="K22" s="25" t="n">
        <x:v>27.533749470930232</x:v>
      </x:c>
      <x:c r="L22" s="25" t="n">
        <x:v>116.04158837790698</x:v>
      </x:c>
      <x:c r="M22" s="25" t="n">
        <x:v>27.526863694186048</x:v>
      </x:c>
      <x:c r="N22" s="25" t="n">
        <x:v>1495</x:v>
      </x:c>
      <x:c r="O22" s="25" t="n">
        <x:v>239.2</x:v>
      </x:c>
      <x:c r="P22" s="27" t="str">
        <x:v>LINESTRING(116.054616 27.533749, 116.041588 27.526864)</x:v>
      </x:c>
      <x:c r="Q22" s="27" t="str">
        <x:v>POLYGON((116.058770 27.527569, 116.045742 27.520683, 116.037435 27.533044, 116.050462 27.539930, 116.058770 27.527569))</x:v>
      </x:c>
      <x:c r="R22" s="25" t="n">
        <x:v>1600</x:v>
      </x:c>
      <x:c r="S22" s="25" t="str">
        <x:v>EPSG:4326</x:v>
      </x:c>
      <x:c r="T22" s="25" t="str">
        <x:v>作者路徑搜尋走廊</x:v>
      </x:c>
      <x:c r="U22" s="25" t="str">
        <x:v>estimated_auxiliary_constrained_corridor</x:v>
      </x:c>
      <x:c r="V22" s="25" t="str">
        <x:v>pending/review</x:v>
      </x:c>
      <x:c r="W22" s="25" t="str">
        <x:v>https://zh.wikisource.org/zh-hans/%E5%BE%90%E9%9C%9E%E5%AE%A2%E9%81%8A%E8%A8%98/%E6%B1%9F%E5%8F%B3%E9%81%8A%E6%97%A5%E8%A8%98</x:v>
      </x:c>
      <x:c r="X22" s="25" t="str">
        <x:v>https://zh.wikisource.org/zh-hans/%E5%BE%90%E9%9C%9E%E5%AE%A2%E9%81%8A%E8%A8%98/%E6%B1%9F%E5%8F%B3%E9%81%8A%E6%97%A5%E8%A8%98</x:v>
      </x:c>
      <x:c r="Y22" s="25" t="str">
        <x:v>https://zh.wikisource.org/zh-hans/%E5%BE%90%E9%9C%9E%E5%AE%A2%E9%81%8A%E8%A8%98/%E6%B1%9F%E5%8F%B3%E9%81%8A%E6%97%A5%E8%A8%98</x:v>
      </x:c>
      <x:c r="Z22" s="25" t="str">
        <x:v>同段 幞头岭→纯乡；輔助節點／原文里數／山脊河谷限制；方向 239.2°</x:v>
      </x:c>
    </x:row>
    <x:row r="23" ht="58.5" customHeight="1">
      <x:c r="A23" s="25" t="n">
        <x:v>36</x:v>
      </x:c>
      <x:c r="B23" s="25" t="str">
        <x:v>二十三日</x:v>
      </x:c>
      <x:c r="C23" s="25" t="str">
        <x:v>二十三日-B（曹山至朱溪）</x:v>
      </x:c>
      <x:c r="D23" s="25" t="str">
        <x:v>F-630</x:v>
      </x:c>
      <x:c r="E23" s="25" t="str">
        <x:v>纯乡</x:v>
      </x:c>
      <x:c r="F23" s="25" t="str">
        <x:v>formal</x:v>
      </x:c>
      <x:c r="G23" s="25" t="str">
        <x:v>F-631</x:v>
      </x:c>
      <x:c r="H23" s="25" t="str">
        <x:v>纯乡村</x:v>
      </x:c>
      <x:c r="I23" s="25" t="str">
        <x:v>formal</x:v>
      </x:c>
      <x:c r="J23" s="25" t="n">
        <x:v>116.04158837790698</x:v>
      </x:c>
      <x:c r="K23" s="25" t="n">
        <x:v>27.526863694186048</x:v>
      </x:c>
      <x:c r="L23" s="25" t="n">
        <x:v>116.04093699232557</x:v>
      </x:c>
      <x:c r="M23" s="25" t="n">
        <x:v>27.526519405348836</x:v>
      </x:c>
      <x:c r="N23" s="25" t="n">
        <x:v>75</x:v>
      </x:c>
      <x:c r="O23" s="25" t="n">
        <x:v>239.2</x:v>
      </x:c>
      <x:c r="P23" s="27" t="str">
        <x:v>LINESTRING(116.041588 27.526864, 116.040937 27.526519)</x:v>
      </x:c>
      <x:c r="Q23" s="27" t="str">
        <x:v>POLYGON((116.045742 27.520684, 116.045090 27.520339, 116.036783 27.532699, 116.037434 27.533044, 116.045742 27.520684))</x:v>
      </x:c>
      <x:c r="R23" s="25" t="n">
        <x:v>1600</x:v>
      </x:c>
      <x:c r="S23" s="25" t="str">
        <x:v>EPSG:4326</x:v>
      </x:c>
      <x:c r="T23" s="25" t="str">
        <x:v>作者路徑搜尋走廊</x:v>
      </x:c>
      <x:c r="U23" s="25" t="str">
        <x:v>estimated_auxiliary_constrained_corridor</x:v>
      </x:c>
      <x:c r="V23" s="25" t="str">
        <x:v>pending/review</x:v>
      </x:c>
      <x:c r="W23" s="25" t="str">
        <x:v>https://zh.wikisource.org/zh-hans/%E5%BE%90%E9%9C%9E%E5%AE%A2%E9%81%8A%E8%A8%98/%E6%B1%9F%E5%8F%B3%E9%81%8A%E6%97%A5%E8%A8%98</x:v>
      </x:c>
      <x:c r="X23" s="25" t="str">
        <x:v>https://zh.wikisource.org/zh-hans/%E5%BE%90%E9%9C%9E%E5%AE%A2%E9%81%8A%E8%A8%98/%E6%B1%9F%E5%8F%B3%E9%81%8A%E6%97%A5%E8%A8%98</x:v>
      </x:c>
      <x:c r="Y23" s="25" t="str">
        <x:v>https://zh.wikisource.org/zh-hans/%E5%BE%90%E9%9C%9E%E5%AE%A2%E9%81%8A%E8%A8%98/%E6%B1%9F%E5%8F%B3%E9%81%8A%E6%97%A5%E8%A8%98</x:v>
      </x:c>
      <x:c r="Z23" s="25" t="str">
        <x:v>同段 纯乡→纯乡村；輔助節點／原文里數／山脊河谷限制；方向 239.2°</x:v>
      </x:c>
    </x:row>
    <x:row r="24" ht="58.5" customHeight="1">
      <x:c r="A24" s="25" t="n">
        <x:v>37</x:v>
      </x:c>
      <x:c r="B24" s="25" t="str">
        <x:v>二十三日</x:v>
      </x:c>
      <x:c r="C24" s="25" t="str">
        <x:v>二十三日-B（曹山至朱溪）</x:v>
      </x:c>
      <x:c r="D24" s="25" t="str">
        <x:v>F-631</x:v>
      </x:c>
      <x:c r="E24" s="25" t="str">
        <x:v>纯乡村</x:v>
      </x:c>
      <x:c r="F24" s="25" t="str">
        <x:v>formal</x:v>
      </x:c>
      <x:c r="G24" s="25" t="str">
        <x:v>23B-07</x:v>
      </x:c>
      <x:c r="H24" s="25" t="str">
        <x:v>純鄉溪</x:v>
      </x:c>
      <x:c r="I24" s="25" t="str">
        <x:v>aux</x:v>
      </x:c>
      <x:c r="J24" s="25" t="n">
        <x:v>116.04093699232557</x:v>
      </x:c>
      <x:c r="K24" s="25" t="n">
        <x:v>27.526519405348836</x:v>
      </x:c>
      <x:c r="L24" s="25" t="n">
        <x:v>116.04158837790698</x:v>
      </x:c>
      <x:c r="M24" s="25" t="n">
        <x:v>27.526863694186048</x:v>
      </x:c>
      <x:c r="N24" s="25" t="n">
        <x:v>75</x:v>
      </x:c>
      <x:c r="O24" s="25" t="n">
        <x:v>59.2</x:v>
      </x:c>
      <x:c r="P24" s="27" t="str">
        <x:v>LINESTRING(116.040937 27.526519, 116.041588 27.526864)</x:v>
      </x:c>
      <x:c r="Q24" s="27" t="str">
        <x:v>POLYGON((116.036783 27.532699, 116.037434 27.533044, 116.045742 27.520684, 116.045090 27.520339, 116.036783 27.532699))</x:v>
      </x:c>
      <x:c r="R24" s="25" t="n">
        <x:v>1600</x:v>
      </x:c>
      <x:c r="S24" s="25" t="str">
        <x:v>EPSG:4326</x:v>
      </x:c>
      <x:c r="T24" s="25" t="str">
        <x:v>作者路徑搜尋走廊</x:v>
      </x:c>
      <x:c r="U24" s="25" t="str">
        <x:v>estimated_auxiliary_constrained_corridor</x:v>
      </x:c>
      <x:c r="V24" s="25" t="str">
        <x:v>pending/review</x:v>
      </x:c>
      <x:c r="W24" s="25" t="str">
        <x:v>https://zh.wikisource.org/zh-hans/%E5%BE%90%E9%9C%9E%E5%AE%A2%E9%81%8A%E8%A8%98/%E6%B1%9F%E5%8F%B3%E9%81%8A%E6%97%A5%E8%A8%98</x:v>
      </x:c>
      <x:c r="X24" s="25" t="str">
        <x:v>https://zh.wikisource.org/zh-hans/%E5%BE%90%E9%9C%9E%E5%AE%A2%E9%81%8A%E8%A8%98/%E6%B1%9F%E5%8F%B3%E9%81%8A%E6%97%A5%E8%A8%98</x:v>
      </x:c>
      <x:c r="Y24" s="25" t="str">
        <x:v>https://zh.wikisource.org/zh-hans/%E5%BE%90%E9%9C%9E%E5%AE%A2%E9%81%8A%E8%A8%98/%E6%B1%9F%E5%8F%B3%E9%81%8A%E6%97%A5%E8%A8%98</x:v>
      </x:c>
      <x:c r="Z24" s="25" t="str">
        <x:v>同段 纯乡村→純鄉溪；輔助節點／原文里數／山脊河谷限制；方向 59.2°</x:v>
      </x:c>
    </x:row>
    <x:row r="25" ht="58.5" customHeight="1">
      <x:c r="A25" s="25" t="n">
        <x:v>38</x:v>
      </x:c>
      <x:c r="B25" s="25" t="str">
        <x:v>二十三日</x:v>
      </x:c>
      <x:c r="C25" s="25" t="str">
        <x:v>二十三日-B（曹山至朱溪）</x:v>
      </x:c>
      <x:c r="D25" s="25" t="str">
        <x:v>23B-07</x:v>
      </x:c>
      <x:c r="E25" s="25" t="str">
        <x:v>純鄉溪</x:v>
      </x:c>
      <x:c r="F25" s="25" t="str">
        <x:v>aux</x:v>
      </x:c>
      <x:c r="G25" s="25" t="str">
        <x:v>F-633</x:v>
      </x:c>
      <x:c r="H25" s="25" t="str">
        <x:v>干冈岭</x:v>
      </x:c>
      <x:c r="I25" s="25" t="str">
        <x:v>formal</x:v>
      </x:c>
      <x:c r="J25" s="25" t="n">
        <x:v>116.04158837790698</x:v>
      </x:c>
      <x:c r="K25" s="25" t="n">
        <x:v>27.526863694186048</x:v>
      </x:c>
      <x:c r="L25" s="25" t="n">
        <x:v>116.03507452209301</x:v>
      </x:c>
      <x:c r="M25" s="25" t="n">
        <x:v>27.523420805813952</x:v>
      </x:c>
      <x:c r="N25" s="25" t="n">
        <x:v>748</x:v>
      </x:c>
      <x:c r="O25" s="25" t="n">
        <x:v>239.2</x:v>
      </x:c>
      <x:c r="P25" s="27" t="str">
        <x:v>LINESTRING(116.041588 27.526864, 116.035075 27.523421)</x:v>
      </x:c>
      <x:c r="Q25" s="27" t="str">
        <x:v>POLYGON((116.045871 27.520490, 116.039357 27.517047, 116.030791 27.529794, 116.037305 27.533237, 116.045871 27.520490))</x:v>
      </x:c>
      <x:c r="R25" s="25" t="n">
        <x:v>1650</x:v>
      </x:c>
      <x:c r="S25" s="25" t="str">
        <x:v>EPSG:4326</x:v>
      </x:c>
      <x:c r="T25" s="25" t="str">
        <x:v>作者路徑搜尋走廊</x:v>
      </x:c>
      <x:c r="U25" s="25" t="str">
        <x:v>estimated_auxiliary_constrained_corridor</x:v>
      </x:c>
      <x:c r="V25" s="25" t="str">
        <x:v>pending/review</x:v>
      </x:c>
      <x:c r="W25" s="25" t="str">
        <x:v>https://zh.wikisource.org/zh-hans/%E5%BE%90%E9%9C%9E%E5%AE%A2%E9%81%8A%E8%A8%98/%E6%B1%9F%E5%8F%B3%E9%81%8A%E6%97%A5%E8%A8%98</x:v>
      </x:c>
      <x:c r="X25" s="25" t="str">
        <x:v>https://zh.wikisource.org/zh-hans/%E5%BE%90%E9%9C%9E%E5%AE%A2%E9%81%8A%E8%A8%98/%E6%B1%9F%E5%8F%B3%E9%81%8A%E6%97%A5%E8%A8%98</x:v>
      </x:c>
      <x:c r="Y25" s="25" t="str">
        <x:v>https://zh.wikisource.org/zh-hans/%E5%BE%90%E9%9C%9E%E5%AE%A2%E9%81%8A%E8%A8%98/%E6%B1%9F%E5%8F%B3%E9%81%8A%E6%97%A5%E8%A8%98</x:v>
      </x:c>
      <x:c r="Z25" s="25" t="str">
        <x:v>同段 純鄉溪→干冈岭；輔助節點／原文里數／山脊河谷限制；方向 239.2°</x:v>
      </x:c>
    </x:row>
    <x:row r="26" ht="58.5" customHeight="1">
      <x:c r="A26" s="25" t="n">
        <x:v>39</x:v>
      </x:c>
      <x:c r="B26" s="25" t="str">
        <x:v>二十三日</x:v>
      </x:c>
      <x:c r="C26" s="25" t="str">
        <x:v>二十三日-B（曹山至朱溪）</x:v>
      </x:c>
      <x:c r="D26" s="25" t="str">
        <x:v>F-633</x:v>
      </x:c>
      <x:c r="E26" s="25" t="str">
        <x:v>干冈岭</x:v>
      </x:c>
      <x:c r="F26" s="25" t="str">
        <x:v>formal</x:v>
      </x:c>
      <x:c r="G26" s="25" t="str">
        <x:v>23B-05</x:v>
      </x:c>
      <x:c r="H26" s="25" t="str">
        <x:v>廖庄橋</x:v>
      </x:c>
      <x:c r="I26" s="25" t="str">
        <x:v>aux</x:v>
      </x:c>
      <x:c r="J26" s="25" t="n">
        <x:v>116.03507452209301</x:v>
      </x:c>
      <x:c r="K26" s="25" t="n">
        <x:v>27.523420805813952</x:v>
      </x:c>
      <x:c r="L26" s="25" t="n">
        <x:v>116.00250524302325</x:v>
      </x:c>
      <x:c r="M26" s="25" t="n">
        <x:v>27.50620636395349</x:v>
      </x:c>
      <x:c r="N26" s="25" t="n">
        <x:v>3739</x:v>
      </x:c>
      <x:c r="O26" s="25" t="n">
        <x:v>239.2</x:v>
      </x:c>
      <x:c r="P26" s="27" t="str">
        <x:v>LINESTRING(116.035075 27.523421, 116.002505 27.506206)</x:v>
      </x:c>
      <x:c r="Q26" s="27" t="str">
        <x:v>POLYGON((116.039356 27.517047, 116.006786 27.499832, 115.998224 27.512580, 116.030792 27.529795, 116.039356 27.517047))</x:v>
      </x:c>
      <x:c r="R26" s="25" t="n">
        <x:v>1650</x:v>
      </x:c>
      <x:c r="S26" s="25" t="str">
        <x:v>EPSG:4326</x:v>
      </x:c>
      <x:c r="T26" s="25" t="str">
        <x:v>作者路徑搜尋走廊</x:v>
      </x:c>
      <x:c r="U26" s="25" t="str">
        <x:v>estimated_auxiliary_constrained_corridor</x:v>
      </x:c>
      <x:c r="V26" s="25" t="str">
        <x:v>pending/review</x:v>
      </x:c>
      <x:c r="W26" s="25" t="str">
        <x:v>https://zh.wikisource.org/zh-hans/%E5%BE%90%E9%9C%9E%E5%AE%A2%E9%81%8A%E8%A8%98/%E6%B1%9F%E5%8F%B3%E9%81%8A%E6%97%A5%E8%A8%98</x:v>
      </x:c>
      <x:c r="X26" s="25" t="str">
        <x:v>https://zh.wikisource.org/zh-hans/%E5%BE%90%E9%9C%9E%E5%AE%A2%E9%81%8A%E8%A8%98/%E6%B1%9F%E5%8F%B3%E9%81%8A%E6%97%A5%E8%A8%98</x:v>
      </x:c>
      <x:c r="Y26" s="25" t="str">
        <x:v>https://zh.wikisource.org/zh-hans/%E5%BE%90%E9%9C%9E%E5%AE%A2%E9%81%8A%E8%A8%98/%E6%B1%9F%E5%8F%B3%E9%81%8A%E6%97%A5%E8%A8%98</x:v>
      </x:c>
      <x:c r="Z26" s="25" t="str">
        <x:v>同段 干冈岭→廖庄橋；輔助節點／原文里數／山脊河谷限制；方向 239.2°</x:v>
      </x:c>
    </x:row>
    <x:row r="27" ht="58.5" customHeight="1">
      <x:c r="A27" s="25" t="n">
        <x:v>40</x:v>
      </x:c>
      <x:c r="B27" s="25" t="str">
        <x:v>二十三日</x:v>
      </x:c>
      <x:c r="C27" s="25" t="str">
        <x:v>二十三日-B（曹山至朱溪）</x:v>
      </x:c>
      <x:c r="D27" s="25" t="str">
        <x:v>23B-05</x:v>
      </x:c>
      <x:c r="E27" s="25" t="str">
        <x:v>廖庄橋</x:v>
      </x:c>
      <x:c r="F27" s="25" t="str">
        <x:v>aux</x:v>
      </x:c>
      <x:c r="G27" s="25" t="str">
        <x:v>23B-06</x:v>
      </x:c>
      <x:c r="H27" s="25" t="str">
        <x:v>練樹橋</x:v>
      </x:c>
      <x:c r="I27" s="25" t="str">
        <x:v>aux</x:v>
      </x:c>
      <x:c r="J27" s="25" t="n">
        <x:v>116.00250524302325</x:v>
      </x:c>
      <x:c r="K27" s="25" t="n">
        <x:v>27.50620636395349</x:v>
      </x:c>
      <x:c r="L27" s="25" t="n">
        <x:v>115.98622060348836</x:v>
      </x:c>
      <x:c r="M27" s="25" t="n">
        <x:v>27.49759914302326</x:v>
      </x:c>
      <x:c r="N27" s="25" t="n">
        <x:v>1870</x:v>
      </x:c>
      <x:c r="O27" s="25" t="n">
        <x:v>239.2</x:v>
      </x:c>
      <x:c r="P27" s="27" t="str">
        <x:v>LINESTRING(116.002505 27.506206, 115.986221 27.497599)</x:v>
      </x:c>
      <x:c r="Q27" s="27" t="str">
        <x:v>POLYGON((116.006657 27.500026, 115.990372 27.491418, 115.982069 27.503780, 115.998353 27.512387, 116.006657 27.500026))</x:v>
      </x:c>
      <x:c r="R27" s="25" t="n">
        <x:v>1600</x:v>
      </x:c>
      <x:c r="S27" s="25" t="str">
        <x:v>EPSG:4326</x:v>
      </x:c>
      <x:c r="T27" s="25" t="str">
        <x:v>作者路徑搜尋走廊</x:v>
      </x:c>
      <x:c r="U27" s="25" t="str">
        <x:v>estimated_auxiliary_constrained_corridor</x:v>
      </x:c>
      <x:c r="V27" s="25" t="str">
        <x:v>pending/review</x:v>
      </x:c>
      <x:c r="W27" s="25" t="str">
        <x:v>https://zh.wikisource.org/zh-hans/%E5%BE%90%E9%9C%9E%E5%AE%A2%E9%81%8A%E8%A8%98/%E6%B1%9F%E5%8F%B3%E9%81%8A%E6%97%A5%E8%A8%98</x:v>
      </x:c>
      <x:c r="X27" s="25" t="str">
        <x:v>https://zh.wikisource.org/zh-hans/%E5%BE%90%E9%9C%9E%E5%AE%A2%E9%81%8A%E8%A8%98/%E6%B1%9F%E5%8F%B3%E9%81%8A%E6%97%A5%E8%A8%98</x:v>
      </x:c>
      <x:c r="Y27" s="25" t="str">
        <x:v>https://zh.wikisource.org/zh-hans/%E5%BE%90%E9%9C%9E%E5%AE%A2%E9%81%8A%E8%A8%98/%E6%B1%9F%E5%8F%B3%E9%81%8A%E6%97%A5%E8%A8%98</x:v>
      </x:c>
      <x:c r="Z27" s="25" t="str">
        <x:v>同段 廖庄橋→練樹橋；輔助節點／原文里數／山脊河谷限制；方向 239.2°</x:v>
      </x:c>
    </x:row>
    <x:row r="28" ht="58.5" customHeight="1">
      <x:c r="A28" s="25" t="n">
        <x:v>41</x:v>
      </x:c>
      <x:c r="B28" s="25" t="str">
        <x:v>二十三日</x:v>
      </x:c>
      <x:c r="C28" s="25" t="str">
        <x:v>二十三日-B（曹山至朱溪）</x:v>
      </x:c>
      <x:c r="D28" s="25" t="str">
        <x:v>23B-06</x:v>
      </x:c>
      <x:c r="E28" s="25" t="str">
        <x:v>練樹橋</x:v>
      </x:c>
      <x:c r="F28" s="25" t="str">
        <x:v>aux</x:v>
      </x:c>
      <x:c r="G28" s="25" t="str">
        <x:v>F-636</x:v>
      </x:c>
      <x:c r="H28" s="25" t="str">
        <x:v>巴溪</x:v>
      </x:c>
      <x:c r="I28" s="25" t="str">
        <x:v>formal</x:v>
      </x:c>
      <x:c r="J28" s="25" t="n">
        <x:v>115.98622060348836</x:v>
      </x:c>
      <x:c r="K28" s="25" t="n">
        <x:v>27.49759914302326</x:v>
      </x:c>
      <x:c r="L28" s="25" t="n">
        <x:v>115.98622060348836</x:v>
      </x:c>
      <x:c r="M28" s="25" t="n">
        <x:v>27.49759914302326</x:v>
      </x:c>
      <x:c r="N28" s="25" t="n">
        <x:v>0</x:v>
      </x:c>
      <x:c r="O28" s="25" t="n">
        <x:v>0</x:v>
      </x:c>
      <x:c r="P28" s="27" t="str">
        <x:v>LINESTRING(115.986221 27.497599, 115.986221 27.497599)</x:v>
      </x:c>
      <x:c r="Q28" s="27" t="str">
        <x:v>POLYGON((115.977603 27.497599, 115.977603 27.497599, 115.994838 27.497599, 115.994838 27.497599, 115.977603 27.497599))</x:v>
      </x:c>
      <x:c r="R28" s="25" t="n">
        <x:v>1700</x:v>
      </x:c>
      <x:c r="S28" s="25" t="str">
        <x:v>EPSG:4326</x:v>
      </x:c>
      <x:c r="T28" s="25" t="str">
        <x:v>作者路徑搜尋走廊</x:v>
      </x:c>
      <x:c r="U28" s="25" t="str">
        <x:v>estimated_auxiliary_constrained_corridor</x:v>
      </x:c>
      <x:c r="V28" s="25" t="str">
        <x:v>pending/review</x:v>
      </x:c>
      <x:c r="W28" s="25" t="str">
        <x:v>https://zh.wikisource.org/zh-hans/%E5%BE%90%E9%9C%9E%E5%AE%A2%E9%81%8A%E8%A8%98/%E6%B1%9F%E5%8F%B3%E9%81%8A%E6%97%A5%E8%A8%98</x:v>
      </x:c>
      <x:c r="X28" s="25" t="str">
        <x:v>https://zh.wikisource.org/zh-hans/%E5%BE%90%E9%9C%9E%E5%AE%A2%E9%81%8A%E8%A8%98/%E6%B1%9F%E5%8F%B3%E9%81%8A%E6%97%A5%E8%A8%98</x:v>
      </x:c>
      <x:c r="Y28" s="25" t="str">
        <x:v>https://zh.wikisource.org/zh-hans/%E5%BE%90%E9%9C%9E%E5%AE%A2%E9%81%8A%E8%A8%98/%E6%B1%9F%E5%8F%B3%E9%81%8A%E6%97%A5%E8%A8%98</x:v>
      </x:c>
      <x:c r="Z28" s="25" t="str">
        <x:v>同段 練樹橋→巴溪；輔助節點／原文里數／山脊河谷限制；方向 0.0°</x:v>
      </x:c>
    </x:row>
    <x:row r="29" ht="58.5" customHeight="1">
      <x:c r="A29" s="25" t="n">
        <x:v>42</x:v>
      </x:c>
      <x:c r="B29" s="25" t="str">
        <x:v>二十三日</x:v>
      </x:c>
      <x:c r="C29" s="25" t="str">
        <x:v>二十三日-B（曹山至朱溪）</x:v>
      </x:c>
      <x:c r="D29" s="25" t="str">
        <x:v>F-636</x:v>
      </x:c>
      <x:c r="E29" s="25" t="str">
        <x:v>巴溪</x:v>
      </x:c>
      <x:c r="F29" s="25" t="str">
        <x:v>formal</x:v>
      </x:c>
      <x:c r="G29" s="25" t="str">
        <x:v>23B-08</x:v>
      </x:c>
      <x:c r="H29" s="25" t="str">
        <x:v>小巴溪／大巴溪水系</x:v>
      </x:c>
      <x:c r="I29" s="25" t="str">
        <x:v>aux</x:v>
      </x:c>
      <x:c r="J29" s="25" t="n">
        <x:v>115.98622060348836</x:v>
      </x:c>
      <x:c r="K29" s="25" t="n">
        <x:v>27.49759914302326</x:v>
      </x:c>
      <x:c r="L29" s="25" t="n">
        <x:v>115.98133521162791</x:v>
      </x:c>
      <x:c r="M29" s="25" t="n">
        <x:v>27.495016976744186</x:v>
      </x:c>
      <x:c r="N29" s="25" t="n">
        <x:v>561</x:v>
      </x:c>
      <x:c r="O29" s="25" t="n">
        <x:v>239.2</x:v>
      </x:c>
      <x:c r="P29" s="27" t="str">
        <x:v>LINESTRING(115.986221 27.497599, 115.981335 27.495017)</x:v>
      </x:c>
      <x:c r="Q29" s="27" t="str">
        <x:v>POLYGON((115.990631 27.491032, 115.985746 27.488450, 115.976924 27.501584, 115.981809 27.504166, 115.990631 27.491032))</x:v>
      </x:c>
      <x:c r="R29" s="25" t="n">
        <x:v>1700</x:v>
      </x:c>
      <x:c r="S29" s="25" t="str">
        <x:v>EPSG:4326</x:v>
      </x:c>
      <x:c r="T29" s="25" t="str">
        <x:v>作者路徑搜尋走廊</x:v>
      </x:c>
      <x:c r="U29" s="25" t="str">
        <x:v>estimated_auxiliary_constrained_corridor</x:v>
      </x:c>
      <x:c r="V29" s="25" t="str">
        <x:v>pending/review</x:v>
      </x:c>
      <x:c r="W29" s="25" t="str">
        <x:v>https://zh.wikisource.org/zh-hans/%E5%BE%90%E9%9C%9E%E5%AE%A2%E9%81%8A%E8%A8%98/%E6%B1%9F%E5%8F%B3%E9%81%8A%E6%97%A5%E8%A8%98</x:v>
      </x:c>
      <x:c r="X29" s="25" t="str">
        <x:v>https://zh.wikisource.org/zh-hans/%E5%BE%90%E9%9C%9E%E5%AE%A2%E9%81%8A%E8%A8%98/%E6%B1%9F%E5%8F%B3%E9%81%8A%E6%97%A5%E8%A8%98</x:v>
      </x:c>
      <x:c r="Y29" s="25" t="str">
        <x:v>https://zh.wikisource.org/zh-hans/%E5%BE%90%E9%9C%9E%E5%AE%A2%E9%81%8A%E8%A8%98/%E6%B1%9F%E5%8F%B3%E9%81%8A%E6%97%A5%E8%A8%98</x:v>
      </x:c>
      <x:c r="Z29" s="25" t="str">
        <x:v>同段 巴溪→小巴溪／大巴溪水系；輔助節點／原文里數／山脊河谷限制；方向 239.2°</x:v>
      </x:c>
    </x:row>
    <x:row r="30" ht="58.5" customHeight="1">
      <x:c r="A30" s="25" t="n">
        <x:v>43</x:v>
      </x:c>
      <x:c r="B30" s="25" t="str">
        <x:v>二十三日</x:v>
      </x:c>
      <x:c r="C30" s="25" t="str">
        <x:v>二十三日-B（曹山至朱溪）</x:v>
      </x:c>
      <x:c r="D30" s="25" t="str">
        <x:v>23B-08</x:v>
      </x:c>
      <x:c r="E30" s="25" t="str">
        <x:v>小巴溪／大巴溪水系</x:v>
      </x:c>
      <x:c r="F30" s="25" t="str">
        <x:v>aux</x:v>
      </x:c>
      <x:c r="G30" s="25" t="str">
        <x:v>23B-09</x:v>
      </x:c>
      <x:c r="H30" s="25" t="str">
        <x:v>罕浒</x:v>
      </x:c>
      <x:c r="I30" s="25" t="str">
        <x:v>aux</x:v>
      </x:c>
      <x:c r="J30" s="25" t="n">
        <x:v>115.98133521162791</x:v>
      </x:c>
      <x:c r="K30" s="25" t="n">
        <x:v>27.495016976744186</x:v>
      </x:c>
      <x:c r="L30" s="25" t="n">
        <x:v>115.97970674767441</x:v>
      </x:c>
      <x:c r="M30" s="25" t="n">
        <x:v>27.494156254651163</x:v>
      </x:c>
      <x:c r="N30" s="25" t="n">
        <x:v>187</x:v>
      </x:c>
      <x:c r="O30" s="25" t="n">
        <x:v>239.2</x:v>
      </x:c>
      <x:c r="P30" s="27" t="str">
        <x:v>LINESTRING(115.981335 27.495017, 115.979707 27.494156)</x:v>
      </x:c>
      <x:c r="Q30" s="27" t="str">
        <x:v>POLYGON((115.985487 27.488836, 115.983858 27.487976, 115.975555 27.500337, 115.977183 27.501198, 115.985487 27.488836))</x:v>
      </x:c>
      <x:c r="R30" s="25" t="n">
        <x:v>1600</x:v>
      </x:c>
      <x:c r="S30" s="25" t="str">
        <x:v>EPSG:4326</x:v>
      </x:c>
      <x:c r="T30" s="25" t="str">
        <x:v>作者路徑搜尋走廊</x:v>
      </x:c>
      <x:c r="U30" s="25" t="str">
        <x:v>estimated_auxiliary_constrained_corridor</x:v>
      </x:c>
      <x:c r="V30" s="25" t="str">
        <x:v>pending/review</x:v>
      </x:c>
      <x:c r="W30" s="25" t="str">
        <x:v>https://zh.wikisource.org/zh-hans/%E5%BE%90%E9%9C%9E%E5%AE%A2%E9%81%8A%E8%A8%98/%E6%B1%9F%E5%8F%B3%E9%81%8A%E6%97%A5%E8%A8%98</x:v>
      </x:c>
      <x:c r="X30" s="25" t="str">
        <x:v>https://zh.wikisource.org/zh-hans/%E5%BE%90%E9%9C%9E%E5%AE%A2%E9%81%8A%E8%A8%98/%E6%B1%9F%E5%8F%B3%E9%81%8A%E6%97%A5%E8%A8%98</x:v>
      </x:c>
      <x:c r="Y30" s="25" t="str">
        <x:v>https://zh.wikisource.org/zh-hans/%E5%BE%90%E9%9C%9E%E5%AE%A2%E9%81%8A%E8%A8%98/%E6%B1%9F%E5%8F%B3%E9%81%8A%E6%97%A5%E8%A8%98</x:v>
      </x:c>
      <x:c r="Z30" s="25" t="str">
        <x:v>同段 小巴溪／大巴溪水系→罕浒；輔助節點／原文里數／山脊河谷限制；方向 239.2°</x:v>
      </x:c>
    </x:row>
    <x:row r="31" ht="58.5" customHeight="1">
      <x:c r="A31" s="25" t="n">
        <x:v>44</x:v>
      </x:c>
      <x:c r="B31" s="25" t="str">
        <x:v>二十三日</x:v>
      </x:c>
      <x:c r="C31" s="25" t="str">
        <x:v>二十三日-B（曹山至朱溪）</x:v>
      </x:c>
      <x:c r="D31" s="25" t="str">
        <x:v>23B-09</x:v>
      </x:c>
      <x:c r="E31" s="25" t="str">
        <x:v>罕浒</x:v>
      </x:c>
      <x:c r="F31" s="25" t="str">
        <x:v>aux</x:v>
      </x:c>
      <x:c r="G31" s="25" t="str">
        <x:v>F-650</x:v>
      </x:c>
      <x:c r="H31" s="25" t="str">
        <x:v>朱碧街</x:v>
      </x:c>
      <x:c r="I31" s="25" t="str">
        <x:v>formal</x:v>
      </x:c>
      <x:c r="J31" s="25" t="n">
        <x:v>115.97970674767441</x:v>
      </x:c>
      <x:c r="K31" s="25" t="n">
        <x:v>27.494156254651163</x:v>
      </x:c>
      <x:c r="L31" s="25" t="n">
        <x:v>115.9683075</x:v>
      </x:c>
      <x:c r="M31" s="25" t="n">
        <x:v>27.4881312</x:v>
      </x:c>
      <x:c r="N31" s="25" t="n">
        <x:v>1309</x:v>
      </x:c>
      <x:c r="O31" s="25" t="n">
        <x:v>239.2</x:v>
      </x:c>
      <x:c r="P31" s="27" t="str">
        <x:v>LINESTRING(115.979707 27.494156, 115.968307 27.488131)</x:v>
      </x:c>
      <x:c r="Q31" s="27" t="str">
        <x:v>POLYGON((115.983339 27.488748, 115.971939 27.482723, 115.964675 27.493539, 115.976074 27.499564, 115.983339 27.488748))</x:v>
      </x:c>
      <x:c r="R31" s="25" t="n">
        <x:v>1400</x:v>
      </x:c>
      <x:c r="S31" s="25" t="str">
        <x:v>EPSG:4326</x:v>
      </x:c>
      <x:c r="T31" s="25" t="str">
        <x:v>作者路徑搜尋走廊</x:v>
      </x:c>
      <x:c r="U31" s="25" t="str">
        <x:v>estimated_auxiliary_constrained_corridor</x:v>
      </x:c>
      <x:c r="V31" s="25" t="str">
        <x:v>pending/review</x:v>
      </x:c>
      <x:c r="W31" s="25" t="str">
        <x:v>https://zh.wikisource.org/zh-hans/%E5%BE%90%E9%9C%9E%E5%AE%A2%E9%81%8A%E8%A8%98/%E6%B1%9F%E5%8F%B3%E9%81%8A%E6%97%A5%E8%A8%98</x:v>
      </x:c>
      <x:c r="X31" s="25" t="str">
        <x:v>https://zh.wikisource.org/zh-hans/%E5%BE%90%E9%9C%9E%E5%AE%A2%E9%81%8A%E8%A8%98/%E6%B1%9F%E5%8F%B3%E9%81%8A%E6%97%A5%E8%A8%98</x:v>
      </x:c>
      <x:c r="Y31" s="25" t="str">
        <x:v>https://www.openstreetmap.org/node/8857634831</x:v>
      </x:c>
      <x:c r="Z31" s="25" t="str">
        <x:v>同段 罕浒→朱碧街；輔助節點／原文里數／山脊河谷限制；方向 239.2°</x:v>
      </x:c>
    </x:row>
    <x:row r="32" ht="58.5" customHeight="1">
      <x:c r="A32" s="26" t="n">
        <x:v>45</x:v>
      </x:c>
      <x:c r="B32" s="26" t="str">
        <x:v>二十三日</x:v>
      </x:c>
      <x:c r="C32" s="26" t="str">
        <x:v>二十三日-B（曹山至朱溪）</x:v>
      </x:c>
      <x:c r="D32" s="26" t="str">
        <x:v>F-650</x:v>
      </x:c>
      <x:c r="E32" s="26" t="str">
        <x:v>朱碧街</x:v>
      </x:c>
      <x:c r="F32" s="26" t="str">
        <x:v>formal</x:v>
      </x:c>
      <x:c r="G32" s="26" t="str">
        <x:v>23B-10</x:v>
      </x:c>
      <x:c r="H32" s="26" t="str">
        <x:v>朱溪（朱碧街可能今名）</x:v>
      </x:c>
      <x:c r="I32" s="26" t="str">
        <x:v>aux</x:v>
      </x:c>
      <x:c r="J32" s="26" t="n">
        <x:v>115.9683075</x:v>
      </x:c>
      <x:c r="K32" s="26" t="n">
        <x:v>27.4881312</x:v>
      </x:c>
      <x:c r="L32" s="26" t="n">
        <x:v>115.9683075</x:v>
      </x:c>
      <x:c r="M32" s="26" t="n">
        <x:v>27.4881312</x:v>
      </x:c>
      <x:c r="N32" s="26" t="n">
        <x:v>0</x:v>
      </x:c>
      <x:c r="O32" s="26" t="n">
        <x:v>0</x:v>
      </x:c>
      <x:c r="P32" s="28" t="str">
        <x:v>LINESTRING(115.968307 27.488131, 115.968307 27.488131)</x:v>
      </x:c>
      <x:c r="Q32" s="28" t="str">
        <x:v>POLYGON((115.961211 27.488131, 115.961211 27.488131, 115.975404 27.488131, 115.975404 27.488131, 115.961211 27.488131))</x:v>
      </x:c>
      <x:c r="R32" s="26" t="n">
        <x:v>1400</x:v>
      </x:c>
      <x:c r="S32" s="26" t="str">
        <x:v>EPSG:4326</x:v>
      </x:c>
      <x:c r="T32" s="26" t="str">
        <x:v>作者路徑搜尋走廊</x:v>
      </x:c>
      <x:c r="U32" s="26" t="str">
        <x:v>estimated_auxiliary_constrained_corridor</x:v>
      </x:c>
      <x:c r="V32" s="26" t="str">
        <x:v>pending/review</x:v>
      </x:c>
      <x:c r="W32" s="26" t="str">
        <x:v>https://zh.wikisource.org/zh-hans/%E5%BE%90%E9%9C%9E%E5%AE%A2%E9%81%8A%E8%A8%98/%E6%B1%9F%E5%8F%B3%E9%81%8A%E6%97%A5%E8%A8%98</x:v>
      </x:c>
      <x:c r="X32" s="26" t="str">
        <x:v>https://www.openstreetmap.org/node/8857634831</x:v>
      </x:c>
      <x:c r="Y32" s="26" t="str">
        <x:v>https://www.openstreetmap.org/node/8857634831</x:v>
      </x:c>
      <x:c r="Z32" s="26" t="str">
        <x:v>同段 朱碧街→朱溪（朱碧街可能今名）；輔助節點／原文里數／山脊河谷限制；方向 0.0°</x:v>
      </x:c>
    </x:row>
  </x:sheetData>
  <x:mergeCells>
    <x:mergeCell ref="A1:Z1"/>
    <x:mergeCell ref="A2:Z2"/>
    <x:mergeCell ref="A3:Z3"/>
    <x:mergeCell ref="A4:Z4"/>
  </x:mergeCells>
  <x:pageMargins left="0.7" right="0.7" top="0.75" bottom="0.75" header="0.3" footer="0.3"/>
  <x:tableParts count="1">
    <x:tablePart xmlns:r="http://schemas.openxmlformats.org/officeDocument/2006/relationships" r:id="Rde26924c627742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27.780000686645508" hidden="0" customWidth="1"/>
    <x:col min="8" max="8" width="16.110000610351562" hidden="0" customWidth="1"/>
    <x:col min="9" max="9" width="16.110000610351562" hidden="0" customWidth="1"/>
    <x:col min="10" max="10" width="27.780000686645508" hidden="0" customWidth="1"/>
  </x:cols>
  <x:sheetData>
    <x:row r="1" ht="25.5" customHeight="1">
      <x:c r="A1" s="202" t="str">
        <x:v>步驟一｜二十三日經過篩除｜來源：江右游日记_篩除</x:v>
      </x:c>
      <x:c r="B1" s="202"/>
      <x:c r="C1" s="202"/>
      <x:c r="D1" s="202"/>
      <x:c r="E1" s="202"/>
      <x:c r="F1" s="202"/>
      <x:c r="G1" s="202"/>
      <x:c r="H1" s="202"/>
      <x:c r="I1" s="202"/>
      <x:c r="J1" s="202"/>
    </x:row>
    <x:row r="2" ht="43.5" customHeight="1">
      <x:c r="A2" s="186" t="str">
        <x:v>原始篩除表二十三日共 25 筆（經過 15、提及 10）；本工作簿只展示經過 15 筆。route_auxiliary 可用來復原路線，但 gis_decision 必為 exclude，不能當正式地標或猜測座標。</x:v>
      </x:c>
      <x:c r="B2" s="186"/>
      <x:c r="C2" s="186"/>
      <x:c r="D2" s="186"/>
      <x:c r="E2" s="186"/>
      <x:c r="F2" s="186"/>
      <x:c r="G2" s="186"/>
      <x:c r="H2" s="186"/>
      <x:c r="I2" s="186"/>
      <x:c r="J2" s="186"/>
    </x:row>
    <x:row r="3" ht="18.75" customHeight="1">
      <x:c r="A3" s="190" t="str">
        <x:v>Prompt｜本步驟獨立操作指令</x:v>
      </x:c>
      <x:c r="B3" s="190"/>
      <x:c r="C3" s="190"/>
      <x:c r="D3" s="190"/>
      <x:c r="E3" s="190"/>
      <x:c r="F3" s="190"/>
      <x:c r="G3" s="190"/>
      <x:c r="H3" s="190"/>
      <x:c r="I3" s="190"/>
      <x:c r="J3" s="190"/>
    </x:row>
    <x:row r="4" ht="75" customHeight="1">
      <x:c r="A4" s="194" t="str">
        <x:v>請只處理《江右游日記》二十三日段落，按出現次序抽取具名地理實體；輸出只保留行程欄等於「經過」的紀錄。輸出序號、日期、地名、類別、細分類、行程及原文；重複出現的地名保留每次紀錄。橋、城門、驛站、碼頭、私人住所、建築內部小物及修辭方向詞，另列入篩除表，不得當作正式地標。</x:v>
      </x:c>
      <x:c r="B4" s="194"/>
      <x:c r="C4" s="194"/>
      <x:c r="D4" s="194"/>
      <x:c r="E4" s="194"/>
      <x:c r="F4" s="194"/>
      <x:c r="G4" s="194"/>
      <x:c r="H4" s="194"/>
      <x:c r="I4" s="194"/>
      <x:c r="J4" s="194"/>
    </x:row>
    <x:row r="6" ht="36" customHeight="1">
      <x:c r="A6" s="206" t="str">
        <x:v>序號</x:v>
      </x:c>
      <x:c r="B6" s="206" t="str">
        <x:v>日期</x:v>
      </x:c>
      <x:c r="C6" s="206" t="str">
        <x:v>地名</x:v>
      </x:c>
      <x:c r="D6" s="206" t="str">
        <x:v>類別</x:v>
      </x:c>
      <x:c r="E6" s="206" t="str">
        <x:v>細分類</x:v>
      </x:c>
      <x:c r="F6" s="206" t="str">
        <x:v>行程</x:v>
      </x:c>
      <x:c r="G6" s="206" t="str">
        <x:v>原文</x:v>
      </x:c>
      <x:c r="H6" s="206" t="str">
        <x:v>record_level</x:v>
      </x:c>
      <x:c r="I6" s="206" t="str">
        <x:v>gis_decision</x:v>
      </x:c>
      <x:c r="J6" s="206" t="str">
        <x:v>判斷理由</x:v>
      </x:c>
    </x:row>
    <x:row r="7" ht="54" customHeight="1">
      <x:c r="A7" s="104" t="n">
        <x:v>166</x:v>
      </x:c>
      <x:c r="B7" s="104" t="str">
        <x:v>二十三日</x:v>
      </x:c>
      <x:c r="C7" s="104" t="str">
        <x:v>贵溪东关</x:v>
      </x:c>
      <x:c r="D7" s="104" t="str">
        <x:v>交通節點</x:v>
      </x:c>
      <x:c r="E7" s="104" t="str">
        <x:v>城門</x:v>
      </x:c>
      <x:c r="F7" s="104" t="str">
        <x:v>經過</x:v>
      </x:c>
      <x:c r="G7" s="104" t="str">
        <x:v>亟趋二里，入贵溪东关，二里至玉井头，觅静闻于逆旅，犹未晨餐也。</x:v>
      </x:c>
      <x:c r="H7" s="104" t="str">
        <x:v>route_auxiliary</x:v>
      </x:c>
      <x:c r="I7" s="104" t="str">
        <x:v>exclude</x:v>
      </x:c>
      <x:c r="J7" s="104" t="str">
        <x:v>城門依規則排除，但可輔助行程復原。；指定篩除</x:v>
      </x:c>
    </x:row>
    <x:row r="8" ht="54" customHeight="1">
      <x:c r="A8" s="104" t="n">
        <x:v>167</x:v>
      </x:c>
      <x:c r="B8" s="104" t="str">
        <x:v>二十三日</x:v>
      </x:c>
      <x:c r="C8" s="104" t="str">
        <x:v>玉井头</x:v>
      </x:c>
      <x:c r="D8" s="104" t="str">
        <x:v>交通節點</x:v>
      </x:c>
      <x:c r="E8" s="104" t="str">
        <x:v>道路節點</x:v>
      </x:c>
      <x:c r="F8" s="104" t="str">
        <x:v>經過</x:v>
      </x:c>
      <x:c r="G8" s="104" t="str">
        <x:v>亟趋二里，入贵溪东关，二里至玉井头，觅静闻于逆旅，犹未晨餐也。</x:v>
      </x:c>
      <x:c r="H8" s="104" t="str">
        <x:v>route_auxiliary</x:v>
      </x:c>
      <x:c r="I8" s="104" t="str">
        <x:v>exclude</x:v>
      </x:c>
      <x:c r="J8" s="104" t="str">
        <x:v>城內一般道路地點；屬指定篩除</x:v>
      </x:c>
    </x:row>
    <x:row r="9" ht="54" customHeight="1">
      <x:c r="A9" s="104" t="n">
        <x:v>168</x:v>
      </x:c>
      <x:c r="B9" s="104" t="str">
        <x:v>二十三日</x:v>
      </x:c>
      <x:c r="C9" s="104" t="str">
        <x:v>西南门</x:v>
      </x:c>
      <x:c r="D9" s="104" t="str">
        <x:v>交通節點</x:v>
      </x:c>
      <x:c r="E9" s="104" t="str">
        <x:v>城門</x:v>
      </x:c>
      <x:c r="F9" s="104" t="str">
        <x:v>經過</x:v>
      </x:c>
      <x:c r="G9" s="104" t="str">
        <x:v>亟索饭，同出西南门，渡溪而南即建昌道矣。</x:v>
      </x:c>
      <x:c r="H9" s="104" t="str">
        <x:v>route_auxiliary</x:v>
      </x:c>
      <x:c r="I9" s="104" t="str">
        <x:v>exclude</x:v>
      </x:c>
      <x:c r="J9" s="104" t="str">
        <x:v>西南門為城門，依規則排除，輔助行程。；指定篩除</x:v>
      </x:c>
    </x:row>
    <x:row r="10" ht="54" customHeight="1">
      <x:c r="A10" s="104" t="n">
        <x:v>169</x:v>
      </x:c>
      <x:c r="B10" s="104" t="str">
        <x:v>二十三日</x:v>
      </x:c>
      <x:c r="C10" s="104" t="str">
        <x:v>建昌道</x:v>
      </x:c>
      <x:c r="D10" s="104" t="str">
        <x:v>交通節點</x:v>
      </x:c>
      <x:c r="E10" s="104" t="str">
        <x:v>道路節點</x:v>
      </x:c>
      <x:c r="F10" s="104" t="str">
        <x:v>經過</x:v>
      </x:c>
      <x:c r="G10" s="104" t="str">
        <x:v>亟索饭，同出西南门，渡溪而南即建昌道矣。</x:v>
      </x:c>
      <x:c r="H10" s="104" t="str">
        <x:v>route_auxiliary</x:v>
      </x:c>
      <x:c r="I10" s="104" t="str">
        <x:v>exclude</x:v>
      </x:c>
      <x:c r="J10" s="104" t="str">
        <x:v>道路名稱，非具名地理實體，僅作行程方向參考；指定篩除</x:v>
      </x:c>
    </x:row>
    <x:row r="11" ht="54" customHeight="1">
      <x:c r="A11" s="104" t="n">
        <x:v>214</x:v>
      </x:c>
      <x:c r="B11" s="104" t="str">
        <x:v>二十三日</x:v>
      </x:c>
      <x:c r="C11" s="104" t="str">
        <x:v>仰止亭</x:v>
      </x:c>
      <x:c r="D11" s="104" t="str">
        <x:v>建築內部</x:v>
      </x:c>
      <x:c r="E11" s="104" t="str">
        <x:v>亭閣</x:v>
      </x:c>
      <x:c r="F11" s="104" t="str">
        <x:v>經過</x:v>
      </x:c>
      <x:c r="G11" s="104" t="str">
        <x:v>引余从崖右登仰止亭。</x:v>
      </x:c>
      <x:c r="H11" s="104" t="str">
        <x:v>route_auxiliary</x:v>
      </x:c>
      <x:c r="I11" s="104" t="str">
        <x:v>exclude</x:v>
      </x:c>
      <x:c r="J11" s="104" t="str">
        <x:v>仰止亭為建築群內部亭閣，尺度小且非獨立地標。；指定篩除</x:v>
      </x:c>
    </x:row>
    <x:row r="12" ht="54" customHeight="1">
      <x:c r="A12" s="104" t="n">
        <x:v>215</x:v>
      </x:c>
      <x:c r="B12" s="104" t="str">
        <x:v>二十三日</x:v>
      </x:c>
      <x:c r="C12" s="104" t="str">
        <x:v>中坊渡</x:v>
      </x:c>
      <x:c r="D12" s="104" t="str">
        <x:v>交通節點</x:v>
      </x:c>
      <x:c r="E12" s="104" t="str">
        <x:v>渡口</x:v>
      </x:c>
      <x:c r="F12" s="104" t="str">
        <x:v>經過</x:v>
      </x:c>
      <x:c r="G12" s="104" t="str">
        <x:v>暗中扶余二里，送至中坊渡头。</x:v>
      </x:c>
      <x:c r="H12" s="104" t="str">
        <x:v>route_auxiliary</x:v>
      </x:c>
      <x:c r="I12" s="104" t="str">
        <x:v>exclude</x:v>
      </x:c>
      <x:c r="J12" s="104" t="str">
        <x:v>中坊渡為渡口，依規則排除，但可輔助行程復原。；指定篩除</x:v>
      </x:c>
    </x:row>
    <x:row r="13" ht="54" customHeight="1">
      <x:c r="A13" s="104" t="n">
        <x:v>216</x:v>
      </x:c>
      <x:c r="B13" s="104" t="str">
        <x:v>二十三日</x:v>
      </x:c>
      <x:c r="C13" s="104" t="str">
        <x:v>南关</x:v>
      </x:c>
      <x:c r="D13" s="104" t="str">
        <x:v>交通節點</x:v>
      </x:c>
      <x:c r="E13" s="104" t="str">
        <x:v>城門</x:v>
      </x:c>
      <x:c r="F13" s="104" t="str">
        <x:v>經過</x:v>
      </x:c>
      <x:c r="G13" s="104" t="str">
        <x:v>呼隔溪渡舟，渡入南关，里余，抵舒肆而宿。</x:v>
      </x:c>
      <x:c r="H13" s="104" t="str">
        <x:v>route_auxiliary</x:v>
      </x:c>
      <x:c r="I13" s="104" t="str">
        <x:v>exclude</x:v>
      </x:c>
      <x:c r="J13" s="104" t="str">
        <x:v>南關為城門，依規則排除，但可輔助行程復原。；指定篩除</x:v>
      </x:c>
    </x:row>
    <x:row r="14" ht="54" customHeight="1">
      <x:c r="A14" s="104" t="n">
        <x:v>217</x:v>
      </x:c>
      <x:c r="B14" s="104" t="str">
        <x:v>二十三日</x:v>
      </x:c>
      <x:c r="C14" s="104" t="str">
        <x:v>舒肆</x:v>
      </x:c>
      <x:c r="D14" s="104" t="str">
        <x:v>私人場所</x:v>
      </x:c>
      <x:c r="E14" s="104" t="str">
        <x:v>私人住宅</x:v>
      </x:c>
      <x:c r="F14" s="104" t="str">
        <x:v>經過</x:v>
      </x:c>
      <x:c r="G14" s="104" t="str">
        <x:v>呼隔溪渡舟，渡入南关，里余，抵舒肆而宿。</x:v>
      </x:c>
      <x:c r="H14" s="104" t="str">
        <x:v>route_auxiliary</x:v>
      </x:c>
      <x:c r="I14" s="104" t="str">
        <x:v>exclude</x:v>
      </x:c>
      <x:c r="J14" s="104" t="str">
        <x:v>私人旅店，非具名地理實體，尺度過小；指定篩除</x:v>
      </x:c>
    </x:row>
    <x:row r="15" ht="54" customHeight="1">
      <x:c r="A15" s="104" t="n">
        <x:v>621</x:v>
      </x:c>
      <x:c r="B15" s="104" t="str">
        <x:v>二十三日</x:v>
      </x:c>
      <x:c r="C15" s="104" t="str">
        <x:v>陈坊木桥</x:v>
      </x:c>
      <x:c r="D15" s="104" t="str">
        <x:v>交通節點</x:v>
      </x:c>
      <x:c r="E15" s="104" t="str">
        <x:v>橋梁</x:v>
      </x:c>
      <x:c r="F15" s="104" t="str">
        <x:v>經過</x:v>
      </x:c>
      <x:c r="G15" s="104" t="str">
        <x:v>三里至陈坊木桥，仍西从大道。</x:v>
      </x:c>
      <x:c r="H15" s="104" t="str">
        <x:v>route_auxiliary</x:v>
      </x:c>
      <x:c r="I15" s="104" t="str">
        <x:v>exclude</x:v>
      </x:c>
      <x:c r="J15" s="104" t="str">
        <x:v>陳坊木橋為橋梁，屬指定篩除項但可輔助行程</x:v>
      </x:c>
    </x:row>
    <x:row r="16" ht="54" customHeight="1">
      <x:c r="A16" s="104" t="n">
        <x:v>622</x:v>
      </x:c>
      <x:c r="B16" s="104" t="str">
        <x:v>二十三日</x:v>
      </x:c>
      <x:c r="C16" s="104" t="str">
        <x:v>鹏风桥</x:v>
      </x:c>
      <x:c r="D16" s="104" t="str">
        <x:v>交通節點</x:v>
      </x:c>
      <x:c r="E16" s="104" t="str">
        <x:v>橋梁</x:v>
      </x:c>
      <x:c r="F16" s="104" t="str">
        <x:v>經過</x:v>
      </x:c>
      <x:c r="G16" s="104" t="str">
        <x:v>溯溪二里，过鹏风桥。</x:v>
      </x:c>
      <x:c r="H16" s="104" t="str">
        <x:v>route_auxiliary</x:v>
      </x:c>
      <x:c r="I16" s="104" t="str">
        <x:v>exclude</x:v>
      </x:c>
      <x:c r="J16" s="104" t="str">
        <x:v>鵬風橋為橋梁，屬指定篩除項但可輔助行程</x:v>
      </x:c>
    </x:row>
    <x:row r="17" ht="54" customHeight="1">
      <x:c r="A17" s="104" t="n">
        <x:v>623</x:v>
      </x:c>
      <x:c r="B17" s="104" t="str">
        <x:v>二十三日</x:v>
      </x:c>
      <x:c r="C17" s="104" t="str">
        <x:v>接龙桥</x:v>
      </x:c>
      <x:c r="D17" s="104" t="str">
        <x:v>交通節點</x:v>
      </x:c>
      <x:c r="E17" s="104" t="str">
        <x:v>橋梁</x:v>
      </x:c>
      <x:c r="F17" s="104" t="str">
        <x:v>經過</x:v>
      </x:c>
      <x:c r="G17" s="104" t="str">
        <x:v>又三里，复西渡溪之上流，曰接龙桥。</x:v>
      </x:c>
      <x:c r="H17" s="104" t="str">
        <x:v>route_auxiliary</x:v>
      </x:c>
      <x:c r="I17" s="104" t="str">
        <x:v>exclude</x:v>
      </x:c>
      <x:c r="J17" s="104" t="str">
        <x:v>接龍橋為橋梁，屬指定篩除項但可輔助行程</x:v>
      </x:c>
    </x:row>
    <x:row r="18" ht="54" customHeight="1">
      <x:c r="A18" s="104" t="n">
        <x:v>634</x:v>
      </x:c>
      <x:c r="B18" s="104" t="str">
        <x:v>二十三日</x:v>
      </x:c>
      <x:c r="C18" s="104" t="str">
        <x:v>廖庄桥</x:v>
      </x:c>
      <x:c r="D18" s="104" t="str">
        <x:v>交通節點</x:v>
      </x:c>
      <x:c r="E18" s="104" t="str">
        <x:v>橋梁</x:v>
      </x:c>
      <x:c r="F18" s="104" t="str">
        <x:v>經過</x:v>
      </x:c>
      <x:c r="G18" s="104" t="str">
        <x:v>十里，至廖庄桥，有溪自南而北，其大与纯乡之溪并，东北流，当与纯溪同下崇仁者也。</x:v>
      </x:c>
      <x:c r="H18" s="104" t="str">
        <x:v>route_auxiliary</x:v>
      </x:c>
      <x:c r="I18" s="104" t="str">
        <x:v>exclude</x:v>
      </x:c>
      <x:c r="J18" s="104" t="str">
        <x:v>橋梁，依規則1排除，但可輔助行程；指定篩除</x:v>
      </x:c>
    </x:row>
    <x:row r="19" ht="54" customHeight="1">
      <x:c r="A19" s="104" t="n">
        <x:v>635</x:v>
      </x:c>
      <x:c r="B19" s="104" t="str">
        <x:v>二十三日</x:v>
      </x:c>
      <x:c r="C19" s="104" t="str">
        <x:v>练树桥</x:v>
      </x:c>
      <x:c r="D19" s="104" t="str">
        <x:v>交通節點</x:v>
      </x:c>
      <x:c r="E19" s="104" t="str">
        <x:v>橋梁</x:v>
      </x:c>
      <x:c r="F19" s="104" t="str">
        <x:v>經過</x:v>
      </x:c>
      <x:c r="G19" s="104" t="str">
        <x:v>又西五里，过练树桥，桥跨巴溪之上。</x:v>
      </x:c>
      <x:c r="H19" s="104" t="str">
        <x:v>route_auxiliary</x:v>
      </x:c>
      <x:c r="I19" s="104" t="str">
        <x:v>exclude</x:v>
      </x:c>
      <x:c r="J19" s="104" t="str">
        <x:v>橋梁，依規則1排除，但可輔助行程；指定篩除</x:v>
      </x:c>
    </x:row>
    <x:row r="20" ht="54" customHeight="1">
      <x:c r="A20" s="104" t="n">
        <x:v>637</x:v>
      </x:c>
      <x:c r="B20" s="104" t="str">
        <x:v>二十三日</x:v>
      </x:c>
      <x:c r="C20" s="104" t="str">
        <x:v>坳上</x:v>
      </x:c>
      <x:c r="D20" s="104" t="str">
        <x:v>自然地理</x:v>
      </x:c>
      <x:c r="E20" s="104" t="str">
        <x:v>山嶺／山脊</x:v>
      </x:c>
      <x:c r="F20" s="104" t="str">
        <x:v>經過</x:v>
      </x:c>
      <x:c r="G20" s="104" t="str">
        <x:v>又西过坳上，盖南来之脉北过相山者也。</x:v>
      </x:c>
      <x:c r="H20" s="104" t="str">
        <x:v>route_auxiliary</x:v>
      </x:c>
      <x:c r="I20" s="104" t="str">
        <x:v>exclude</x:v>
      </x:c>
      <x:c r="J20" s="104" t="str">
        <x:v>坳上為地形特徵（山坳高處），非具名聚落或穩定專名，尺度小且無法精確定位。依規則2，屬尺度過小且無法定位者，應exclude。</x:v>
      </x:c>
    </x:row>
    <x:row r="21" ht="54" customHeight="1">
      <x:c r="A21" s="26" t="n">
        <x:v>927</x:v>
      </x:c>
      <x:c r="B21" s="26" t="str">
        <x:v>二十三日</x:v>
      </x:c>
      <x:c r="C21" s="26" t="str">
        <x:v>复生署</x:v>
      </x:c>
      <x:c r="D21" s="26" t="str">
        <x:v>私人場所</x:v>
      </x:c>
      <x:c r="E21" s="26" t="str">
        <x:v>私人住宅</x:v>
      </x:c>
      <x:c r="F21" s="26" t="str">
        <x:v>經過</x:v>
      </x:c>
      <x:c r="G21" s="26" t="str">
        <x:v>在复生署中自宴。</x:v>
      </x:c>
      <x:c r="H21" s="26" t="str">
        <x:v>route_auxiliary</x:v>
      </x:c>
      <x:c r="I21" s="26" t="str">
        <x:v>exclude</x:v>
      </x:c>
      <x:c r="J21" s="26" t="str">
        <x:v>復生署為私人住所，非公共地理實體；指定篩除</x:v>
      </x:c>
    </x:row>
  </x:sheetData>
  <x:mergeCells>
    <x:mergeCell ref="A1:J1"/>
    <x:mergeCell ref="A2:J2"/>
    <x:mergeCell ref="A3:J3"/>
    <x:mergeCell ref="A4:J4"/>
  </x:mergeCells>
  <x:pageMargins left="0.7" right="0.7" top="0.75" bottom="0.75" header="0.3" footer="0.3"/>
  <x:tableParts count="1">
    <x:tablePart xmlns:r="http://schemas.openxmlformats.org/officeDocument/2006/relationships" r:id="R2d8bf40cf9d94e19"/>
  </x:tableParts>
</x:worksheet>
</file>