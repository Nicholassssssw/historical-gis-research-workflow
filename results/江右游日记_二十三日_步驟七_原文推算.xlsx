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bf523b9df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步驟七｜二十三日原文路徑推算" sheetId="1" r:id="R33670f05369d41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Carlito"/>
    </x:font>
    <x:font>
      <x:i/>
      <x:sz val="9"/>
      <x:color rgb="FF065F46"/>
      <x:name val="Carlito"/>
    </x:font>
    <x:font>
      <x:sz val="10"/>
      <x:color rgb="FF78350F"/>
      <x:name val="Carlito"/>
    </x:font>
    <x:font>
      <x:b/>
      <x:sz val="10"/>
      <x:color rgb="FF92400E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sz val="8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</x:fills>
  <x:borders count="2">
    <x:border/>
    <x:border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ac98d6181467f" /><Relationship Type="http://schemas.openxmlformats.org/officeDocument/2006/relationships/theme" Target="/xl/theme/theme1.xml" Id="Re57a82e6cb6448b6" /><Relationship Type="http://schemas.openxmlformats.org/officeDocument/2006/relationships/sharedStrings" Target="/xl/sharedStrings.xml" Id="R96f8201d77764d01" /><Relationship Type="http://schemas.openxmlformats.org/officeDocument/2006/relationships/worksheet" Target="/xl/worksheets/sheet1.xml" Id="R33670f05369d4191" /></Relationships>
</file>

<file path=xl/tables/table1.xml><?xml version="1.0" encoding="utf-8"?>
<x:table xmlns:x="http://schemas.openxmlformats.org/spreadsheetml/2006/main" id="1" name="Day23Step7TextRoute" displayName="Day23Step7TextRoute" ref="A7:Z33" headerRowCount="1" totalsRowCount="0" totalsRowShown="0">
  <x:autoFilter ref="A7:Z33"/>
  <x:tableColumns count="26">
    <x:tableColumn id="1" name="corridor_order"/>
    <x:tableColumn id="2" name="日期"/>
    <x:tableColumn id="3" name="segment"/>
    <x:tableColumn id="4" name="from_id"/>
    <x:tableColumn id="5" name="from_name"/>
    <x:tableColumn id="6" name="from_role"/>
    <x:tableColumn id="7" name="to_id"/>
    <x:tableColumn id="8" name="to_name"/>
    <x:tableColumn id="9" name="to_role"/>
    <x:tableColumn id="10" name="from_lon_WGS84"/>
    <x:tableColumn id="11" name="from_lat_WGS84"/>
    <x:tableColumn id="12" name="to_lon_WGS84"/>
    <x:tableColumn id="13" name="to_lat_WGS84"/>
    <x:tableColumn id="14" name="distance_m"/>
    <x:tableColumn id="15" name="bearing_deg"/>
    <x:tableColumn id="16" name="centerline_WKT"/>
    <x:tableColumn id="17" name="corridor_polygon_WKT"/>
    <x:tableColumn id="18" name="corridor_width_m"/>
    <x:tableColumn id="19" name="CRS"/>
    <x:tableColumn id="20" name="geometry_role"/>
    <x:tableColumn id="21" name="建構方法"/>
    <x:tableColumn id="22" name="gis_decision"/>
    <x:tableColumn id="23" name="主要來源"/>
    <x:tableColumn id="24" name="from_source"/>
    <x:tableColumn id="25" name="to_source"/>
    <x:tableColumn id="26" name="約束依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fffdc979324b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13.890000343322754" hidden="0" customWidth="1"/>
    <x:col min="3" max="3" width="16.110000610351562" hidden="0" customWidth="1"/>
    <x:col min="4" max="4" width="13.890000343322754" hidden="0" customWidth="1"/>
    <x:col min="5" max="5" width="16.110000610351562" hidden="0" customWidth="1"/>
    <x:col min="6" max="6" width="16.110000610351562" hidden="0" customWidth="1"/>
    <x:col min="7" max="7" width="13.890000343322754" hidden="0" customWidth="1"/>
    <x:col min="8" max="8" width="16.110000610351562" hidden="0" customWidth="1"/>
    <x:col min="9" max="9" width="16.110000610351562" hidden="0" customWidth="1"/>
    <x:col min="10" max="10" width="16.110000610351562" hidden="0" customWidth="1"/>
    <x:col min="11" max="11" width="16.110000610351562" hidden="0" customWidth="1"/>
    <x:col min="12" max="12" width="16.110000610351562" hidden="0" customWidth="1"/>
    <x:col min="13" max="13" width="16.110000610351562" hidden="0" customWidth="1"/>
    <x:col min="14" max="14" width="16.110000610351562" hidden="0" customWidth="1"/>
    <x:col min="15" max="15" width="28.889999389648438" hidden="0" customWidth="1"/>
    <x:col min="16" max="16" width="28.889999389648438" hidden="0" customWidth="1"/>
    <x:col min="17" max="17" width="28.889999389648438" hidden="0" customWidth="1"/>
    <x:col min="18" max="18" width="13.890000343322754" hidden="0" customWidth="1"/>
    <x:col min="19" max="19" width="16.110000610351562" hidden="0" customWidth="1"/>
    <x:col min="20" max="20" width="28.889999389648438" hidden="0" customWidth="1"/>
    <x:col min="21" max="21" width="28.889999389648438" hidden="0" customWidth="1"/>
    <x:col min="22" max="22" width="16.110000610351562" hidden="0" customWidth="1"/>
    <x:col min="23" max="23" width="28.889999389648438" hidden="0" customWidth="1"/>
    <x:col min="24" max="24" width="16.110000610351562" hidden="0" customWidth="1"/>
    <x:col min="25" max="25" width="16.110000610351562" hidden="0" customWidth="1"/>
    <x:col min="26" max="26" width="28.889999389648438" hidden="0" customWidth="1"/>
  </x:cols>
  <x:sheetData>
    <x:row r="1" ht="25.5" customHeight="1">
      <x:c r="A1" s="4" t="str">
        <x:v>步驟七｜二十三日原文路徑推算｜來源：十九日_二十三日_路徑走廊再算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5.5" customHeight="1">
      <x:c r="A2" s="8" t="str">
        <x:f>"篩選結果｜"&amp;COUNTA(A8:A33)&amp;" 筆｜"&amp;"來源表：十九日_二十三日_路徑走廊再算；二十三日經過路徑"</x:f>
        <x:v>篩選結果｜26 筆｜來源表：十九日_二十三日_路徑走廊再算；二十三日經過路徑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40.5" customHeight="1">
      <x:c r="A3" s="12" t="str">
        <x:v>路徑走廊由二十三日「經過」地點及其原文方向／里數建立；只保留日期為二十三日的走廊段。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 ht="18.75" customHeight="1">
      <x:c r="A4" s="16" t="str">
        <x:v>Prompt｜本步驟獨立操作指令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 ht="75" customHeight="1">
      <x:c r="A5" s="12" t="str">
        <x:v>請用二十三日原文明示方向、里數、前後站次序及橋／村／溪流／山路輔助節點，建立有序路徑鏈。將仍未有獨立座標的地名投影到錨點之間的路徑走廊，重新計算中心點及誤差半徑；只表述為約略位置。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7" ht="34.5" customHeight="1">
      <x:c r="A7" s="20" t="str">
        <x:v>corridor_order</x:v>
      </x:c>
      <x:c r="B7" s="20" t="str">
        <x:v>日期</x:v>
      </x:c>
      <x:c r="C7" s="20" t="str">
        <x:v>segment</x:v>
      </x:c>
      <x:c r="D7" s="20" t="str">
        <x:v>from_id</x:v>
      </x:c>
      <x:c r="E7" s="20" t="str">
        <x:v>from_name</x:v>
      </x:c>
      <x:c r="F7" s="20" t="str">
        <x:v>from_role</x:v>
      </x:c>
      <x:c r="G7" s="20" t="str">
        <x:v>to_id</x:v>
      </x:c>
      <x:c r="H7" s="20" t="str">
        <x:v>to_name</x:v>
      </x:c>
      <x:c r="I7" s="20" t="str">
        <x:v>to_role</x:v>
      </x:c>
      <x:c r="J7" s="20" t="str">
        <x:v>from_lon_WGS84</x:v>
      </x:c>
      <x:c r="K7" s="20" t="str">
        <x:v>from_lat_WGS84</x:v>
      </x:c>
      <x:c r="L7" s="20" t="str">
        <x:v>to_lon_WGS84</x:v>
      </x:c>
      <x:c r="M7" s="20" t="str">
        <x:v>to_lat_WGS84</x:v>
      </x:c>
      <x:c r="N7" s="20" t="str">
        <x:v>distance_m</x:v>
      </x:c>
      <x:c r="O7" s="20" t="str">
        <x:v>bearing_deg</x:v>
      </x:c>
      <x:c r="P7" s="20" t="str">
        <x:v>centerline_WKT</x:v>
      </x:c>
      <x:c r="Q7" s="20" t="str">
        <x:v>corridor_polygon_WKT</x:v>
      </x:c>
      <x:c r="R7" s="20" t="str">
        <x:v>corridor_width_m</x:v>
      </x:c>
      <x:c r="S7" s="20" t="str">
        <x:v>CRS</x:v>
      </x:c>
      <x:c r="T7" s="20" t="str">
        <x:v>geometry_role</x:v>
      </x:c>
      <x:c r="U7" s="20" t="str">
        <x:v>建構方法</x:v>
      </x:c>
      <x:c r="V7" s="20" t="str">
        <x:v>gis_decision</x:v>
      </x:c>
      <x:c r="W7" s="20" t="str">
        <x:v>主要來源</x:v>
      </x:c>
      <x:c r="X7" s="20" t="str">
        <x:v>from_source</x:v>
      </x:c>
      <x:c r="Y7" s="20" t="str">
        <x:v>to_source</x:v>
      </x:c>
      <x:c r="Z7" s="20" t="str">
        <x:v>約束依據</x:v>
      </x:c>
    </x:row>
    <x:row r="8" ht="54" customHeight="1">
      <x:c r="A8" s="25" t="n">
        <x:v>20</x:v>
      </x:c>
      <x:c r="B8" s="25" t="str">
        <x:v>二十三日</x:v>
      </x:c>
      <x:c r="C8" s="25" t="str">
        <x:v>二十三日-A（三峰山）</x:v>
      </x:c>
      <x:c r="D8" s="25" t="str">
        <x:v>23A-01</x:v>
      </x:c>
      <x:c r="E8" s="25" t="str">
        <x:v>象山／三峰山</x:v>
      </x:c>
      <x:c r="F8" s="25" t="str">
        <x:v>aux</x:v>
      </x:c>
      <x:c r="G8" s="25" t="str">
        <x:v>F-185</x:v>
      </x:c>
      <x:c r="H8" s="25" t="str">
        <x:v>张真人墓</x:v>
      </x:c>
      <x:c r="I8" s="25" t="str">
        <x:v>formal</x:v>
      </x:c>
      <x:c r="J8" s="25" t="n">
        <x:v>117.206618</x:v>
      </x:c>
      <x:c r="K8" s="25" t="n">
        <x:v>28.276501</x:v>
      </x:c>
      <x:c r="L8" s="25" t="n">
        <x:v>117.21056349002849</x:v>
      </x:c>
      <x:c r="M8" s="25" t="n">
        <x:v>28.27332159307314</x:v>
      </x:c>
      <x:c r="N8" s="25" t="n">
        <x:v>524</x:v>
      </x:c>
      <x:c r="O8" s="25" t="n">
        <x:v>132.5</x:v>
      </x:c>
      <x:c r="P8" s="27" t="str">
        <x:v>LINESTRING(117.206618 28.276501, 117.210563 28.273322)</x:v>
      </x:c>
      <x:c r="Q8" s="27" t="str">
        <x:v>POLYGON((117.212478 28.282141, 117.216423 28.278961, 117.204705 28.267682, 117.200759 28.270861, 117.212478 28.282141))</x:v>
      </x:c>
      <x:c r="R8" s="25" t="n">
        <x:v>1700</x:v>
      </x:c>
      <x:c r="S8" s="25" t="str">
        <x:v>EPSG:4326</x:v>
      </x:c>
      <x:c r="T8" s="25" t="str">
        <x:v>作者路徑搜尋走廊</x:v>
      </x:c>
      <x:c r="U8" s="25" t="str">
        <x:v>estimated_auxiliary_constrained_corridor</x:v>
      </x:c>
      <x:c r="V8" s="25" t="str">
        <x:v>pending/review</x:v>
      </x:c>
      <x:c r="W8" s="25" t="str">
        <x:v>https://zh.wikisource.org/zh-hans/%E5%BE%90%E9%9C%9E%E5%AE%A2%E9%81%8A%E8%A8%98/%E6%B1%9F%E5%8F%B3%E9%81%8A%E6%97%A5%E8%A8%98</x:v>
      </x:c>
      <x:c r="X8" s="25" t="str">
        <x:v>https://www.amap.com/place/B0KG0DFDHG</x:v>
      </x:c>
      <x:c r="Y8" s="25" t="str">
        <x:v>https://www.amap.com/place/B0KG0DFDHG</x:v>
      </x:c>
      <x:c r="Z8" s="25" t="str">
        <x:v>同段 象山／三峰山→张真人墓；輔助節點／原文里數／山脊河谷限制；方向 132.5°</x:v>
      </x:c>
    </x:row>
    <x:row r="9" ht="54" customHeight="1">
      <x:c r="A9" s="25" t="n">
        <x:v>21</x:v>
      </x:c>
      <x:c r="B9" s="25" t="str">
        <x:v>二十三日</x:v>
      </x:c>
      <x:c r="C9" s="25" t="str">
        <x:v>二十三日-A（三峰山）</x:v>
      </x:c>
      <x:c r="D9" s="25" t="str">
        <x:v>F-185</x:v>
      </x:c>
      <x:c r="E9" s="25" t="str">
        <x:v>张真人墓</x:v>
      </x:c>
      <x:c r="F9" s="25" t="str">
        <x:v>formal</x:v>
      </x:c>
      <x:c r="G9" s="25" t="str">
        <x:v>23A-02</x:v>
      </x:c>
      <x:c r="H9" s="25" t="str">
        <x:v>五面峰／一線天母地物</x:v>
      </x:c>
      <x:c r="I9" s="25" t="str">
        <x:v>aux</x:v>
      </x:c>
      <x:c r="J9" s="25" t="n">
        <x:v>117.21056349002849</x:v>
      </x:c>
      <x:c r="K9" s="25" t="n">
        <x:v>28.27332159307314</x:v>
      </x:c>
      <x:c r="L9" s="25" t="n">
        <x:v>117.19939762003003</x:v>
      </x:c>
      <x:c r="M9" s="25" t="n">
        <x:v>28.270141646135688</x:v>
      </x:c>
      <x:c r="N9" s="25" t="n">
        <x:v>1149</x:v>
      </x:c>
      <x:c r="O9" s="25" t="n">
        <x:v>252.1</x:v>
      </x:c>
      <x:c r="P9" s="27" t="str">
        <x:v>LINESTRING(117.210563 28.273322, 117.199398 28.270142)</x:v>
      </x:c>
      <x:c r="Q9" s="27" t="str">
        <x:v>POLYGON((117.213234 28.266048, 117.202068 28.262868, 117.196727 28.277415, 117.207893 28.280595, 117.213234 28.266048))</x:v>
      </x:c>
      <x:c r="R9" s="25" t="n">
        <x:v>1700</x:v>
      </x:c>
      <x:c r="S9" s="25" t="str">
        <x:v>EPSG:4326</x:v>
      </x:c>
      <x:c r="T9" s="25" t="str">
        <x:v>作者路徑搜尋走廊</x:v>
      </x:c>
      <x:c r="U9" s="25" t="str">
        <x:v>estimated_auxiliary_constrained_corridor</x:v>
      </x:c>
      <x:c r="V9" s="25" t="str">
        <x:v>pending/review</x:v>
      </x:c>
      <x:c r="W9" s="25" t="str">
        <x:v>https://zh.wikisource.org/zh-hans/%E5%BE%90%E9%9C%9E%E5%AE%A2%E9%81%8A%E8%A8%98/%E6%B1%9F%E5%8F%B3%E9%81%8A%E6%97%A5%E8%A8%98</x:v>
      </x:c>
      <x:c r="X9" s="25" t="str">
        <x:v>https://www.amap.com/place/B0KG0DFDHG</x:v>
      </x:c>
      <x:c r="Y9" s="25" t="str">
        <x:v>https://www.shidianguji.com/book/HY2516/chapter/1kpc9d09e5vdm</x:v>
      </x:c>
      <x:c r="Z9" s="25" t="str">
        <x:v>同段 张真人墓→五面峰／一線天母地物；輔助節點／原文里數／山脊河谷限制；方向 252.1°</x:v>
      </x:c>
    </x:row>
    <x:row r="10" ht="54" customHeight="1">
      <x:c r="A10" s="25" t="n">
        <x:v>22</x:v>
      </x:c>
      <x:c r="B10" s="25" t="str">
        <x:v>二十三日</x:v>
      </x:c>
      <x:c r="C10" s="25" t="str">
        <x:v>二十三日-A（三峰山）</x:v>
      </x:c>
      <x:c r="D10" s="25" t="str">
        <x:v>23A-02</x:v>
      </x:c>
      <x:c r="E10" s="25" t="str">
        <x:v>五面峰／一線天母地物</x:v>
      </x:c>
      <x:c r="F10" s="25" t="str">
        <x:v>aux</x:v>
      </x:c>
      <x:c r="G10" s="25" t="str">
        <x:v>F-190</x:v>
      </x:c>
      <x:c r="H10" s="25" t="str">
        <x:v>一线天</x:v>
      </x:c>
      <x:c r="I10" s="25" t="str">
        <x:v>formal</x:v>
      </x:c>
      <x:c r="J10" s="25" t="n">
        <x:v>117.19939762003003</x:v>
      </x:c>
      <x:c r="K10" s="25" t="n">
        <x:v>28.270141646135688</x:v>
      </x:c>
      <x:c r="L10" s="25" t="n">
        <x:v>117.20084167878814</x:v>
      </x:c>
      <x:c r="M10" s="25" t="n">
        <x:v>28.268869805732734</x:v>
      </x:c>
      <x:c r="N10" s="25" t="n">
        <x:v>200</x:v>
      </x:c>
      <x:c r="O10" s="25" t="n">
        <x:v>135</x:v>
      </x:c>
      <x:c r="P10" s="27" t="str">
        <x:v>LINESTRING(117.199398 28.270142, 117.200842 28.268870)</x:v>
      </x:c>
      <x:c r="Q10" s="27" t="str">
        <x:v>POLYGON((117.204452 28.274593, 117.205896 28.273321, 117.195788 28.264418, 117.194344 28.265690, 117.204452 28.274593))</x:v>
      </x:c>
      <x:c r="R10" s="25" t="n">
        <x:v>1400</x:v>
      </x:c>
      <x:c r="S10" s="25" t="str">
        <x:v>EPSG:4326</x:v>
      </x:c>
      <x:c r="T10" s="25" t="str">
        <x:v>作者路徑搜尋走廊</x:v>
      </x:c>
      <x:c r="U10" s="25" t="str">
        <x:v>estimated_auxiliary_constrained_corridor</x:v>
      </x:c>
      <x:c r="V10" s="25" t="str">
        <x:v>pending/review</x:v>
      </x:c>
      <x:c r="W10" s="25" t="str">
        <x:v>https://zh.wikisource.org/zh-hans/%E5%BE%90%E9%9C%9E%E5%AE%A2%E9%81%8A%E8%A8%98/%E6%B1%9F%E5%8F%B3%E9%81%8A%E6%97%A5%E8%A8%98</x:v>
      </x:c>
      <x:c r="X10" s="25" t="str">
        <x:v>https://www.shidianguji.com/book/HY2516/chapter/1kpc9d09e5vdm</x:v>
      </x:c>
      <x:c r="Y10" s="25" t="str">
        <x:v>https://www.shidianguji.com/book/HY2516/chapter/1kpc9d09e5vdm</x:v>
      </x:c>
      <x:c r="Z10" s="25" t="str">
        <x:v>同段 五面峰／一線天母地物→一线天；輔助節點／原文里數／山脊河谷限制；方向 135.0°</x:v>
      </x:c>
    </x:row>
    <x:row r="11" ht="54" customHeight="1">
      <x:c r="A11" s="25" t="n">
        <x:v>23</x:v>
      </x:c>
      <x:c r="B11" s="25" t="str">
        <x:v>二十三日</x:v>
      </x:c>
      <x:c r="C11" s="25" t="str">
        <x:v>二十三日-A（三峰山）</x:v>
      </x:c>
      <x:c r="D11" s="25" t="str">
        <x:v>F-190</x:v>
      </x:c>
      <x:c r="E11" s="25" t="str">
        <x:v>一线天</x:v>
      </x:c>
      <x:c r="F11" s="25" t="str">
        <x:v>formal</x:v>
      </x:c>
      <x:c r="G11" s="25" t="str">
        <x:v>F-192</x:v>
      </x:c>
      <x:c r="H11" s="25" t="str">
        <x:v>西华</x:v>
      </x:c>
      <x:c r="I11" s="25" t="str">
        <x:v>formal</x:v>
      </x:c>
      <x:c r="J11" s="25" t="n">
        <x:v>117.20084167878814</x:v>
      </x:c>
      <x:c r="K11" s="25" t="n">
        <x:v>28.268869805732734</x:v>
      </x:c>
      <x:c r="L11" s="25" t="n">
        <x:v>117.19939762003003</x:v>
      </x:c>
      <x:c r="M11" s="25" t="n">
        <x:v>28.265645038106094</x:v>
      </x:c>
      <x:c r="N11" s="25" t="n">
        <x:v>385</x:v>
      </x:c>
      <x:c r="O11" s="25" t="n">
        <x:v>201.5</x:v>
      </x:c>
      <x:c r="P11" s="27" t="str">
        <x:v>LINESTRING(117.200842 28.268870, 117.199398 28.265645)</x:v>
      </x:c>
      <x:c r="Q11" s="27" t="str">
        <x:v>POLYGON((117.207491 28.266560, 117.206047 28.263335, 117.192748 28.267955, 117.194192 28.271179, 117.207491 28.266560))</x:v>
      </x:c>
      <x:c r="R11" s="25" t="n">
        <x:v>1400</x:v>
      </x:c>
      <x:c r="S11" s="25" t="str">
        <x:v>EPSG:4326</x:v>
      </x:c>
      <x:c r="T11" s="25" t="str">
        <x:v>作者路徑搜尋走廊</x:v>
      </x:c>
      <x:c r="U11" s="25" t="str">
        <x:v>estimated_auxiliary_constrained_corridor</x:v>
      </x:c>
      <x:c r="V11" s="25" t="str">
        <x:v>pending/review</x:v>
      </x:c>
      <x:c r="W11" s="25" t="str">
        <x:v>https://zh.wikisource.org/zh-hans/%E5%BE%90%E9%9C%9E%E5%AE%A2%E9%81%8A%E8%A8%98/%E6%B1%9F%E5%8F%B3%E9%81%8A%E6%97%A5%E8%A8%98</x:v>
      </x:c>
      <x:c r="X11" s="25" t="str">
        <x:v>https://www.shidianguji.com/book/HY2516/chapter/1kpc9d09e5vdm</x:v>
      </x:c>
      <x:c r="Y11" s="25" t="str">
        <x:v>https://www.shidianguji.com/book/HY2516/chapter/1kpc9d09e5vdm</x:v>
      </x:c>
      <x:c r="Z11" s="25" t="str">
        <x:v>同段 一线天→西华；輔助節點／原文里數／山脊河谷限制；方向 201.5°</x:v>
      </x:c>
    </x:row>
    <x:row r="12" ht="54" customHeight="1">
      <x:c r="A12" s="25" t="n">
        <x:v>24</x:v>
      </x:c>
      <x:c r="B12" s="25" t="str">
        <x:v>二十三日</x:v>
      </x:c>
      <x:c r="C12" s="25" t="str">
        <x:v>二十三日-A（三峰山）</x:v>
      </x:c>
      <x:c r="D12" s="25" t="str">
        <x:v>F-192</x:v>
      </x:c>
      <x:c r="E12" s="25" t="str">
        <x:v>西华</x:v>
      </x:c>
      <x:c r="F12" s="25" t="str">
        <x:v>formal</x:v>
      </x:c>
      <x:c r="G12" s="25" t="str">
        <x:v>F-195</x:v>
      </x:c>
      <x:c r="H12" s="25" t="str">
        <x:v>一线天</x:v>
      </x:c>
      <x:c r="I12" s="25" t="str">
        <x:v>formal</x:v>
      </x:c>
      <x:c r="J12" s="25" t="n">
        <x:v>117.19939762003003</x:v>
      </x:c>
      <x:c r="K12" s="25" t="n">
        <x:v>28.265645038106094</x:v>
      </x:c>
      <x:c r="L12" s="25" t="n">
        <x:v>117.20084167878814</x:v>
      </x:c>
      <x:c r="M12" s="25" t="n">
        <x:v>28.268869805732734</x:v>
      </x:c>
      <x:c r="N12" s="25" t="n">
        <x:v>385</x:v>
      </x:c>
      <x:c r="O12" s="25" t="n">
        <x:v>21.5</x:v>
      </x:c>
      <x:c r="P12" s="27" t="str">
        <x:v>LINESTRING(117.199398 28.265645, 117.200842 28.268870)</x:v>
      </x:c>
      <x:c r="Q12" s="27" t="str">
        <x:v>POLYGON((117.192748 28.267955, 117.194192 28.271179, 117.207491 28.266560, 117.206047 28.263335, 117.192748 28.267955))</x:v>
      </x:c>
      <x:c r="R12" s="25" t="n">
        <x:v>1400</x:v>
      </x:c>
      <x:c r="S12" s="25" t="str">
        <x:v>EPSG:4326</x:v>
      </x:c>
      <x:c r="T12" s="25" t="str">
        <x:v>作者路徑搜尋走廊</x:v>
      </x:c>
      <x:c r="U12" s="25" t="str">
        <x:v>estimated_auxiliary_constrained_corridor</x:v>
      </x:c>
      <x:c r="V12" s="25" t="str">
        <x:v>pending/review</x:v>
      </x:c>
      <x:c r="W12" s="25" t="str">
        <x:v>https://zh.wikisource.org/zh-hans/%E5%BE%90%E9%9C%9E%E5%AE%A2%E9%81%8A%E8%A8%98/%E6%B1%9F%E5%8F%B3%E9%81%8A%E6%97%A5%E8%A8%98</x:v>
      </x:c>
      <x:c r="X12" s="25" t="str">
        <x:v>https://www.shidianguji.com/book/HY2516/chapter/1kpc9d09e5vdm</x:v>
      </x:c>
      <x:c r="Y12" s="25" t="str">
        <x:v>https://www.shidianguji.com/book/HY2516/chapter/1kpc9d09e5vdm</x:v>
      </x:c>
      <x:c r="Z12" s="25" t="str">
        <x:v>同段 西华→一线天；輔助節點／原文里數／山脊河谷限制；方向 21.5°</x:v>
      </x:c>
    </x:row>
    <x:row r="13" ht="54" customHeight="1">
      <x:c r="A13" s="25" t="n">
        <x:v>25</x:v>
      </x:c>
      <x:c r="B13" s="25" t="str">
        <x:v>二十三日</x:v>
      </x:c>
      <x:c r="C13" s="25" t="str">
        <x:v>二十三日-A（三峰山）</x:v>
      </x:c>
      <x:c r="D13" s="25" t="str">
        <x:v>F-195</x:v>
      </x:c>
      <x:c r="E13" s="25" t="str">
        <x:v>一线天</x:v>
      </x:c>
      <x:c r="F13" s="25" t="str">
        <x:v>formal</x:v>
      </x:c>
      <x:c r="G13" s="25" t="str">
        <x:v>F-196</x:v>
      </x:c>
      <x:c r="H13" s="25" t="str">
        <x:v>西华</x:v>
      </x:c>
      <x:c r="I13" s="25" t="str">
        <x:v>formal</x:v>
      </x:c>
      <x:c r="J13" s="25" t="n">
        <x:v>117.20084167878814</x:v>
      </x:c>
      <x:c r="K13" s="25" t="n">
        <x:v>28.268869805732734</x:v>
      </x:c>
      <x:c r="L13" s="25" t="n">
        <x:v>117.19939762003003</x:v>
      </x:c>
      <x:c r="M13" s="25" t="n">
        <x:v>28.265645038106094</x:v>
      </x:c>
      <x:c r="N13" s="25" t="n">
        <x:v>385</x:v>
      </x:c>
      <x:c r="O13" s="25" t="n">
        <x:v>201.5</x:v>
      </x:c>
      <x:c r="P13" s="27" t="str">
        <x:v>LINESTRING(117.200842 28.268870, 117.199398 28.265645)</x:v>
      </x:c>
      <x:c r="Q13" s="27" t="str">
        <x:v>POLYGON((117.207491 28.266560, 117.206047 28.263335, 117.192748 28.267955, 117.194192 28.271179, 117.207491 28.266560))</x:v>
      </x:c>
      <x:c r="R13" s="25" t="n">
        <x:v>1400</x:v>
      </x:c>
      <x:c r="S13" s="25" t="str">
        <x:v>EPSG:4326</x:v>
      </x:c>
      <x:c r="T13" s="25" t="str">
        <x:v>作者路徑搜尋走廊</x:v>
      </x:c>
      <x:c r="U13" s="25" t="str">
        <x:v>estimated_auxiliary_constrained_corridor</x:v>
      </x:c>
      <x:c r="V13" s="25" t="str">
        <x:v>pending/review</x:v>
      </x:c>
      <x:c r="W13" s="25" t="str">
        <x:v>https://zh.wikisource.org/zh-hans/%E5%BE%90%E9%9C%9E%E5%AE%A2%E9%81%8A%E8%A8%98/%E6%B1%9F%E5%8F%B3%E9%81%8A%E6%97%A5%E8%A8%98</x:v>
      </x:c>
      <x:c r="X13" s="25" t="str">
        <x:v>https://www.shidianguji.com/book/HY2516/chapter/1kpc9d09e5vdm</x:v>
      </x:c>
      <x:c r="Y13" s="25" t="str">
        <x:v>https://www.shidianguji.com/book/HY2516/chapter/1kpc9d09e5vdm</x:v>
      </x:c>
      <x:c r="Z13" s="25" t="str">
        <x:v>同段 一线天→西华；輔助節點／原文里數／山脊河谷限制；方向 201.5°</x:v>
      </x:c>
    </x:row>
    <x:row r="14" ht="54" customHeight="1">
      <x:c r="A14" s="25" t="n">
        <x:v>26</x:v>
      </x:c>
      <x:c r="B14" s="25" t="str">
        <x:v>二十三日</x:v>
      </x:c>
      <x:c r="C14" s="25" t="str">
        <x:v>二十三日-A（三峰山）</x:v>
      </x:c>
      <x:c r="D14" s="25" t="str">
        <x:v>F-196</x:v>
      </x:c>
      <x:c r="E14" s="25" t="str">
        <x:v>西华</x:v>
      </x:c>
      <x:c r="F14" s="25" t="str">
        <x:v>formal</x:v>
      </x:c>
      <x:c r="G14" s="25" t="str">
        <x:v>F-197</x:v>
      </x:c>
      <x:c r="H14" s="25" t="str">
        <x:v>一线天</x:v>
      </x:c>
      <x:c r="I14" s="25" t="str">
        <x:v>formal</x:v>
      </x:c>
      <x:c r="J14" s="25" t="n">
        <x:v>117.19939762003003</x:v>
      </x:c>
      <x:c r="K14" s="25" t="n">
        <x:v>28.265645038106094</x:v>
      </x:c>
      <x:c r="L14" s="25" t="n">
        <x:v>117.20084167878814</x:v>
      </x:c>
      <x:c r="M14" s="25" t="n">
        <x:v>28.268869805732734</x:v>
      </x:c>
      <x:c r="N14" s="25" t="n">
        <x:v>385</x:v>
      </x:c>
      <x:c r="O14" s="25" t="n">
        <x:v>21.5</x:v>
      </x:c>
      <x:c r="P14" s="27" t="str">
        <x:v>LINESTRING(117.199398 28.265645, 117.200842 28.268870)</x:v>
      </x:c>
      <x:c r="Q14" s="27" t="str">
        <x:v>POLYGON((117.192748 28.267955, 117.194192 28.271179, 117.207491 28.266560, 117.206047 28.263335, 117.192748 28.267955))</x:v>
      </x:c>
      <x:c r="R14" s="25" t="n">
        <x:v>1400</x:v>
      </x:c>
      <x:c r="S14" s="25" t="str">
        <x:v>EPSG:4326</x:v>
      </x:c>
      <x:c r="T14" s="25" t="str">
        <x:v>作者路徑搜尋走廊</x:v>
      </x:c>
      <x:c r="U14" s="25" t="str">
        <x:v>estimated_auxiliary_constrained_corridor</x:v>
      </x:c>
      <x:c r="V14" s="25" t="str">
        <x:v>pending/review</x:v>
      </x:c>
      <x:c r="W14" s="25" t="str">
        <x:v>https://zh.wikisource.org/zh-hans/%E5%BE%90%E9%9C%9E%E5%AE%A2%E9%81%8A%E8%A8%98/%E6%B1%9F%E5%8F%B3%E9%81%8A%E6%97%A5%E8%A8%98</x:v>
      </x:c>
      <x:c r="X14" s="25" t="str">
        <x:v>https://www.shidianguji.com/book/HY2516/chapter/1kpc9d09e5vdm</x:v>
      </x:c>
      <x:c r="Y14" s="25" t="str">
        <x:v>https://www.shidianguji.com/book/HY2516/chapter/1kpc9d09e5vdm</x:v>
      </x:c>
      <x:c r="Z14" s="25" t="str">
        <x:v>同段 西华→一线天；輔助節點／原文里數／山脊河谷限制；方向 21.5°</x:v>
      </x:c>
    </x:row>
    <x:row r="15" ht="54" customHeight="1">
      <x:c r="A15" s="25" t="n">
        <x:v>27</x:v>
      </x:c>
      <x:c r="B15" s="25" t="str">
        <x:v>二十三日</x:v>
      </x:c>
      <x:c r="C15" s="25" t="str">
        <x:v>二十三日-A（三峰山）</x:v>
      </x:c>
      <x:c r="D15" s="25" t="str">
        <x:v>F-197</x:v>
      </x:c>
      <x:c r="E15" s="25" t="str">
        <x:v>一线天</x:v>
      </x:c>
      <x:c r="F15" s="25" t="str">
        <x:v>formal</x:v>
      </x:c>
      <x:c r="G15" s="25" t="str">
        <x:v>23A-03</x:v>
      </x:c>
      <x:c r="H15" s="25" t="str">
        <x:v>徐岩／朝真宮</x:v>
      </x:c>
      <x:c r="I15" s="25" t="str">
        <x:v>aux</x:v>
      </x:c>
      <x:c r="J15" s="25" t="n">
        <x:v>117.20084167878814</x:v>
      </x:c>
      <x:c r="K15" s="25" t="n">
        <x:v>28.268869805732734</x:v>
      </x:c>
      <x:c r="L15" s="25" t="n">
        <x:v>117.21056349002849</x:v>
      </x:c>
      <x:c r="M15" s="25" t="n">
        <x:v>28.275569897087937</x:v>
      </x:c>
      <x:c r="N15" s="25" t="n">
        <x:v>1209</x:v>
      </x:c>
      <x:c r="O15" s="25" t="n">
        <x:v>52</x:v>
      </x:c>
      <x:c r="P15" s="27" t="str">
        <x:v>LINESTRING(117.200842 28.268870, 117.210563 28.275570)</x:v>
      </x:c>
      <x:c r="Q15" s="27" t="str">
        <x:v>POLYGON((117.196436 28.273827, 117.206158 28.280527, 117.214969 28.270612, 117.205247 28.263912, 117.196436 28.273827))</x:v>
      </x:c>
      <x:c r="R15" s="25" t="n">
        <x:v>1400</x:v>
      </x:c>
      <x:c r="S15" s="25" t="str">
        <x:v>EPSG:4326</x:v>
      </x:c>
      <x:c r="T15" s="25" t="str">
        <x:v>作者路徑搜尋走廊</x:v>
      </x:c>
      <x:c r="U15" s="25" t="str">
        <x:v>estimated_auxiliary_constrained_corridor</x:v>
      </x:c>
      <x:c r="V15" s="25" t="str">
        <x:v>pending/review</x:v>
      </x:c>
      <x:c r="W15" s="25" t="str">
        <x:v>https://zh.wikisource.org/zh-hans/%E5%BE%90%E9%9C%9E%E5%AE%A2%E9%81%8A%E8%A8%98/%E6%B1%9F%E5%8F%B3%E9%81%8A%E6%97%A5%E8%A8%98</x:v>
      </x:c>
      <x:c r="X15" s="25" t="str">
        <x:v>https://www.shidianguji.com/book/HY2516/chapter/1kpc9d09e5vdm</x:v>
      </x:c>
      <x:c r="Y15" s="25" t="str">
        <x:v>https://www.amap.com/place/B0KG0DFDHG</x:v>
      </x:c>
      <x:c r="Z15" s="25" t="str">
        <x:v>同段 一线天→徐岩／朝真宮；輔助節點／原文里數／山脊河谷限制；方向 52.0°</x:v>
      </x:c>
    </x:row>
    <x:row r="16" ht="54" customHeight="1">
      <x:c r="A16" s="25" t="n">
        <x:v>28</x:v>
      </x:c>
      <x:c r="B16" s="25" t="str">
        <x:v>二十三日</x:v>
      </x:c>
      <x:c r="C16" s="25" t="str">
        <x:v>二十三日-B（曹山至朱溪）</x:v>
      </x:c>
      <x:c r="D16" s="25" t="str">
        <x:v>23B-01</x:v>
      </x:c>
      <x:c r="E16" s="25" t="str">
        <x:v>曹山</x:v>
      </x:c>
      <x:c r="F16" s="25" t="str">
        <x:v>aux</x:v>
      </x:c>
      <x:c r="G16" s="25" t="str">
        <x:v>23B-02</x:v>
      </x:c>
      <x:c r="H16" s="25" t="str">
        <x:v>陳坊木橋</x:v>
      </x:c>
      <x:c r="I16" s="25" t="str">
        <x:v>aux</x:v>
      </x:c>
      <x:c r="J16" s="25" t="n">
        <x:v>116.1083554</x:v>
      </x:c>
      <x:c r="K16" s="25" t="n">
        <x:v>27.5621533</x:v>
      </x:c>
      <x:c r="L16" s="25" t="n">
        <x:v>116.09858461627907</x:v>
      </x:c>
      <x:c r="M16" s="25" t="n">
        <x:v>27.55698896744186</x:v>
      </x:c>
      <x:c r="N16" s="25" t="n">
        <x:v>1121</x:v>
      </x:c>
      <x:c r="O16" s="25" t="n">
        <x:v>239.2</x:v>
      </x:c>
      <x:c r="P16" s="27" t="str">
        <x:v>LINESTRING(116.108355 27.562153, 116.098585 27.556989)</x:v>
      </x:c>
      <x:c r="Q16" s="27" t="str">
        <x:v>POLYGON((116.112511 27.555973, 116.102740 27.550809, 116.094429 27.563169, 116.104199 27.568333, 116.112511 27.555973))</x:v>
      </x:c>
      <x:c r="R16" s="25" t="n">
        <x:v>1600</x:v>
      </x:c>
      <x:c r="S16" s="25" t="str">
        <x:v>EPSG:4326</x:v>
      </x:c>
      <x:c r="T16" s="25" t="str">
        <x:v>作者路徑搜尋走廊</x:v>
      </x:c>
      <x:c r="U16" s="25" t="str">
        <x:v>estimated_auxiliary_constrained_corridor</x:v>
      </x:c>
      <x:c r="V16" s="25" t="str">
        <x:v>pending/review</x:v>
      </x:c>
      <x:c r="W16" s="25" t="str">
        <x:v>https://zh.wikisource.org/zh-hans/%E5%BE%90%E9%9C%9E%E5%AE%A2%E9%81%8A%E8%A8%98/%E6%B1%9F%E5%8F%B3%E9%81%8A%E6%97%A5%E8%A8%98</x:v>
      </x:c>
      <x:c r="X16" s="25" t="str">
        <x:v>https://www.openstreetmap.org/node/11838197068</x:v>
      </x:c>
      <x:c r="Y16" s="25" t="str">
        <x:v>https://zh.wikisource.org/zh-hans/%E5%BE%90%E9%9C%9E%E5%AE%A2%E9%81%8A%E8%A8%98/%E6%B1%9F%E5%8F%B3%E9%81%8A%E6%97%A5%E8%A8%98</x:v>
      </x:c>
      <x:c r="Z16" s="25" t="str">
        <x:v>同段 曹山→陳坊木橋；輔助節點／原文里數／山脊河谷限制；方向 239.2°</x:v>
      </x:c>
    </x:row>
    <x:row r="17" ht="54" customHeight="1">
      <x:c r="A17" s="25" t="n">
        <x:v>29</x:v>
      </x:c>
      <x:c r="B17" s="25" t="str">
        <x:v>二十三日</x:v>
      </x:c>
      <x:c r="C17" s="25" t="str">
        <x:v>二十三日-B（曹山至朱溪）</x:v>
      </x:c>
      <x:c r="D17" s="25" t="str">
        <x:v>23B-02</x:v>
      </x:c>
      <x:c r="E17" s="25" t="str">
        <x:v>陳坊木橋</x:v>
      </x:c>
      <x:c r="F17" s="25" t="str">
        <x:v>aux</x:v>
      </x:c>
      <x:c r="G17" s="25" t="str">
        <x:v>23B-03</x:v>
      </x:c>
      <x:c r="H17" s="25" t="str">
        <x:v>鵬風橋</x:v>
      </x:c>
      <x:c r="I17" s="25" t="str">
        <x:v>aux</x:v>
      </x:c>
      <x:c r="J17" s="25" t="n">
        <x:v>116.09858461627907</x:v>
      </x:c>
      <x:c r="K17" s="25" t="n">
        <x:v>27.55698896744186</x:v>
      </x:c>
      <x:c r="L17" s="25" t="n">
        <x:v>116.0920707604651</x:v>
      </x:c>
      <x:c r="M17" s="25" t="n">
        <x:v>27.553546079069765</x:v>
      </x:c>
      <x:c r="N17" s="25" t="n">
        <x:v>748</x:v>
      </x:c>
      <x:c r="O17" s="25" t="n">
        <x:v>239.2</x:v>
      </x:c>
      <x:c r="P17" s="27" t="str">
        <x:v>LINESTRING(116.098585 27.556989, 116.092071 27.553546)</x:v>
      </x:c>
      <x:c r="Q17" s="27" t="str">
        <x:v>POLYGON((116.102740 27.550809, 116.096226 27.547366, 116.087915 27.559726, 116.094429 27.563169, 116.102740 27.550809))</x:v>
      </x:c>
      <x:c r="R17" s="25" t="n">
        <x:v>1600</x:v>
      </x:c>
      <x:c r="S17" s="25" t="str">
        <x:v>EPSG:4326</x:v>
      </x:c>
      <x:c r="T17" s="25" t="str">
        <x:v>作者路徑搜尋走廊</x:v>
      </x:c>
      <x:c r="U17" s="25" t="str">
        <x:v>estimated_auxiliary_constrained_corridor</x:v>
      </x:c>
      <x:c r="V17" s="25" t="str">
        <x:v>pending/review</x:v>
      </x:c>
      <x:c r="W17" s="25" t="str">
        <x:v>https://zh.wikisource.org/zh-hans/%E5%BE%90%E9%9C%9E%E5%AE%A2%E9%81%8A%E8%A8%98/%E6%B1%9F%E5%8F%B3%E9%81%8A%E6%97%A5%E8%A8%98</x:v>
      </x:c>
      <x:c r="X17" s="25" t="str">
        <x:v>https://zh.wikisource.org/zh-hans/%E5%BE%90%E9%9C%9E%E5%AE%A2%E9%81%8A%E8%A8%98/%E6%B1%9F%E5%8F%B3%E9%81%8A%E6%97%A5%E8%A8%98</x:v>
      </x:c>
      <x:c r="Y17" s="25" t="str">
        <x:v>https://zh.wikisource.org/zh-hans/%E5%BE%90%E9%9C%9E%E5%AE%A2%E9%81%8A%E8%A8%98/%E6%B1%9F%E5%8F%B3%E9%81%8A%E6%97%A5%E8%A8%98</x:v>
      </x:c>
      <x:c r="Z17" s="25" t="str">
        <x:v>同段 陳坊木橋→鵬風橋；輔助節點／原文里數／山脊河谷限制；方向 239.2°</x:v>
      </x:c>
    </x:row>
    <x:row r="18" ht="54" customHeight="1">
      <x:c r="A18" s="25" t="n">
        <x:v>30</x:v>
      </x:c>
      <x:c r="B18" s="25" t="str">
        <x:v>二十三日</x:v>
      </x:c>
      <x:c r="C18" s="25" t="str">
        <x:v>二十三日-B（曹山至朱溪）</x:v>
      </x:c>
      <x:c r="D18" s="25" t="str">
        <x:v>23B-03</x:v>
      </x:c>
      <x:c r="E18" s="25" t="str">
        <x:v>鵬風橋</x:v>
      </x:c>
      <x:c r="F18" s="25" t="str">
        <x:v>aux</x:v>
      </x:c>
      <x:c r="G18" s="25" t="str">
        <x:v>23B-04</x:v>
      </x:c>
      <x:c r="H18" s="25" t="str">
        <x:v>接龍橋</x:v>
      </x:c>
      <x:c r="I18" s="25" t="str">
        <x:v>aux</x:v>
      </x:c>
      <x:c r="J18" s="25" t="n">
        <x:v>116.0920707604651</x:v>
      </x:c>
      <x:c r="K18" s="25" t="n">
        <x:v>27.553546079069765</x:v>
      </x:c>
      <x:c r="L18" s="25" t="n">
        <x:v>116.08229997674418</x:v>
      </x:c>
      <x:c r="M18" s="25" t="n">
        <x:v>27.548381746511627</x:v>
      </x:c>
      <x:c r="N18" s="25" t="n">
        <x:v>1121</x:v>
      </x:c>
      <x:c r="O18" s="25" t="n">
        <x:v>239.2</x:v>
      </x:c>
      <x:c r="P18" s="27" t="str">
        <x:v>LINESTRING(116.092071 27.553546, 116.082300 27.548382)</x:v>
      </x:c>
      <x:c r="Q18" s="27" t="str">
        <x:v>POLYGON((116.096226 27.547366, 116.086455 27.542202, 116.078145 27.554562, 116.087915 27.559726, 116.096226 27.547366))</x:v>
      </x:c>
      <x:c r="R18" s="25" t="n">
        <x:v>1600</x:v>
      </x:c>
      <x:c r="S18" s="25" t="str">
        <x:v>EPSG:4326</x:v>
      </x:c>
      <x:c r="T18" s="25" t="str">
        <x:v>作者路徑搜尋走廊</x:v>
      </x:c>
      <x:c r="U18" s="25" t="str">
        <x:v>estimated_auxiliary_constrained_corridor</x:v>
      </x:c>
      <x:c r="V18" s="25" t="str">
        <x:v>pending/review</x:v>
      </x:c>
      <x:c r="W18" s="25" t="str">
        <x:v>https://zh.wikisource.org/zh-hans/%E5%BE%90%E9%9C%9E%E5%AE%A2%E9%81%8A%E8%A8%98/%E6%B1%9F%E5%8F%B3%E9%81%8A%E6%97%A5%E8%A8%98</x:v>
      </x:c>
      <x:c r="X18" s="25" t="str">
        <x:v>https://zh.wikisource.org/zh-hans/%E5%BE%90%E9%9C%9E%E5%AE%A2%E9%81%8A%E8%A8%98/%E6%B1%9F%E5%8F%B3%E9%81%8A%E6%97%A5%E8%A8%98</x:v>
      </x:c>
      <x:c r="Y18" s="25" t="str">
        <x:v>https://zh.wikisource.org/zh-hans/%E5%BE%90%E9%9C%9E%E5%AE%A2%E9%81%8A%E8%A8%98/%E6%B1%9F%E5%8F%B3%E9%81%8A%E6%97%A5%E8%A8%98</x:v>
      </x:c>
      <x:c r="Z18" s="25" t="str">
        <x:v>同段 鵬風橋→接龍橋；輔助節點／原文里數／山脊河谷限制；方向 239.2°</x:v>
      </x:c>
    </x:row>
    <x:row r="19" ht="54" customHeight="1">
      <x:c r="A19" s="25" t="n">
        <x:v>31</x:v>
      </x:c>
      <x:c r="B19" s="25" t="str">
        <x:v>二十三日</x:v>
      </x:c>
      <x:c r="C19" s="25" t="str">
        <x:v>二十三日-B（曹山至朱溪）</x:v>
      </x:c>
      <x:c r="D19" s="25" t="str">
        <x:v>23B-04</x:v>
      </x:c>
      <x:c r="E19" s="25" t="str">
        <x:v>接龍橋</x:v>
      </x:c>
      <x:c r="F19" s="25" t="str">
        <x:v>aux</x:v>
      </x:c>
      <x:c r="G19" s="25" t="str">
        <x:v>F-626</x:v>
      </x:c>
      <x:c r="H19" s="25" t="str">
        <x:v>大霍岭</x:v>
      </x:c>
      <x:c r="I19" s="25" t="str">
        <x:v>formal</x:v>
      </x:c>
      <x:c r="J19" s="25" t="n">
        <x:v>116.08229997674418</x:v>
      </x:c>
      <x:c r="K19" s="25" t="n">
        <x:v>27.548381746511627</x:v>
      </x:c>
      <x:c r="L19" s="25" t="n">
        <x:v>116.07415765697674</x:v>
      </x:c>
      <x:c r="M19" s="25" t="n">
        <x:v>27.54407813604651</x:v>
      </x:c>
      <x:c r="N19" s="25" t="n">
        <x:v>935</x:v>
      </x:c>
      <x:c r="O19" s="25" t="n">
        <x:v>239.2</x:v>
      </x:c>
      <x:c r="P19" s="27" t="str">
        <x:v>LINESTRING(116.082300 27.548382, 116.074158 27.544078)</x:v>
      </x:c>
      <x:c r="Q19" s="27" t="str">
        <x:v>POLYGON((116.086455 27.542202, 116.078312 27.537898, 116.070003 27.550258, 116.078145 27.554562, 116.086455 27.542202))</x:v>
      </x:c>
      <x:c r="R19" s="25" t="n">
        <x:v>1600</x:v>
      </x:c>
      <x:c r="S19" s="25" t="str">
        <x:v>EPSG:4326</x:v>
      </x:c>
      <x:c r="T19" s="25" t="str">
        <x:v>作者路徑搜尋走廊</x:v>
      </x:c>
      <x:c r="U19" s="25" t="str">
        <x:v>estimated_auxiliary_constrained_corridor</x:v>
      </x:c>
      <x:c r="V19" s="25" t="str">
        <x:v>pending/review</x:v>
      </x:c>
      <x:c r="W19" s="25" t="str">
        <x:v>https://zh.wikisource.org/zh-hans/%E5%BE%90%E9%9C%9E%E5%AE%A2%E9%81%8A%E8%A8%98/%E6%B1%9F%E5%8F%B3%E9%81%8A%E6%97%A5%E8%A8%98</x:v>
      </x:c>
      <x:c r="X19" s="25" t="str">
        <x:v>https://zh.wikisource.org/zh-hans/%E5%BE%90%E9%9C%9E%E5%AE%A2%E9%81%8A%E8%A8%98/%E6%B1%9F%E5%8F%B3%E9%81%8A%E6%97%A5%E8%A8%98</x:v>
      </x:c>
      <x:c r="Y19" s="25" t="str">
        <x:v>https://zh.wikisource.org/zh-hans/%E5%BE%90%E9%9C%9E%E5%AE%A2%E9%81%8A%E8%A8%98/%E6%B1%9F%E5%8F%B3%E9%81%8A%E6%97%A5%E8%A8%98</x:v>
      </x:c>
      <x:c r="Z19" s="25" t="str">
        <x:v>同段 接龍橋→大霍岭；輔助節點／原文里數／山脊河谷限制；方向 239.2°</x:v>
      </x:c>
    </x:row>
    <x:row r="20" ht="54" customHeight="1">
      <x:c r="A20" s="25" t="n">
        <x:v>32</x:v>
      </x:c>
      <x:c r="B20" s="25" t="str">
        <x:v>二十三日</x:v>
      </x:c>
      <x:c r="C20" s="25" t="str">
        <x:v>二十三日-B（曹山至朱溪）</x:v>
      </x:c>
      <x:c r="D20" s="25" t="str">
        <x:v>F-626</x:v>
      </x:c>
      <x:c r="E20" s="25" t="str">
        <x:v>大霍岭</x:v>
      </x:c>
      <x:c r="F20" s="25" t="str">
        <x:v>formal</x:v>
      </x:c>
      <x:c r="G20" s="25" t="str">
        <x:v>F-627</x:v>
      </x:c>
      <x:c r="H20" s="25" t="str">
        <x:v>龙骨山</x:v>
      </x:c>
      <x:c r="I20" s="25" t="str">
        <x:v>formal</x:v>
      </x:c>
      <x:c r="J20" s="25" t="n">
        <x:v>116.07415765697674</x:v>
      </x:c>
      <x:c r="K20" s="25" t="n">
        <x:v>27.54407813604651</x:v>
      </x:c>
      <x:c r="L20" s="25" t="n">
        <x:v>116.07090072906976</x:v>
      </x:c>
      <x:c r="M20" s="25" t="n">
        <x:v>27.542356691860466</x:v>
      </x:c>
      <x:c r="N20" s="25" t="n">
        <x:v>374</x:v>
      </x:c>
      <x:c r="O20" s="25" t="n">
        <x:v>239.2</x:v>
      </x:c>
      <x:c r="P20" s="27" t="str">
        <x:v>LINESTRING(116.074158 27.544078, 116.070901 27.542357)</x:v>
      </x:c>
      <x:c r="Q20" s="27" t="str">
        <x:v>POLYGON((116.078312 27.537898, 116.075055 27.536177, 116.066746 27.548537, 116.070003 27.550258, 116.078312 27.537898))</x:v>
      </x:c>
      <x:c r="R20" s="25" t="n">
        <x:v>1600</x:v>
      </x:c>
      <x:c r="S20" s="25" t="str">
        <x:v>EPSG:4326</x:v>
      </x:c>
      <x:c r="T20" s="25" t="str">
        <x:v>作者路徑搜尋走廊</x:v>
      </x:c>
      <x:c r="U20" s="25" t="str">
        <x:v>estimated_auxiliary_constrained_corridor</x:v>
      </x:c>
      <x:c r="V20" s="25" t="str">
        <x:v>pending/review</x:v>
      </x:c>
      <x:c r="W20" s="25" t="str">
        <x:v>https://zh.wikisource.org/zh-hans/%E5%BE%90%E9%9C%9E%E5%AE%A2%E9%81%8A%E8%A8%98/%E6%B1%9F%E5%8F%B3%E9%81%8A%E6%97%A5%E8%A8%98</x:v>
      </x:c>
      <x:c r="X20" s="25" t="str">
        <x:v>https://zh.wikisource.org/zh-hans/%E5%BE%90%E9%9C%9E%E5%AE%A2%E9%81%8A%E8%A8%98/%E6%B1%9F%E5%8F%B3%E9%81%8A%E6%97%A5%E8%A8%98</x:v>
      </x:c>
      <x:c r="Y20" s="25" t="str">
        <x:v>https://zh.wikisource.org/zh-hans/%E5%BE%90%E9%9C%9E%E5%AE%A2%E9%81%8A%E8%A8%98/%E6%B1%9F%E5%8F%B3%E9%81%8A%E6%97%A5%E8%A8%98</x:v>
      </x:c>
      <x:c r="Z20" s="25" t="str">
        <x:v>同段 大霍岭→龙骨山；輔助節點／原文里數／山脊河谷限制；方向 239.2°</x:v>
      </x:c>
    </x:row>
    <x:row r="21" ht="54" customHeight="1">
      <x:c r="A21" s="25" t="n">
        <x:v>33</x:v>
      </x:c>
      <x:c r="B21" s="25" t="str">
        <x:v>二十三日</x:v>
      </x:c>
      <x:c r="C21" s="25" t="str">
        <x:v>二十三日-B（曹山至朱溪）</x:v>
      </x:c>
      <x:c r="D21" s="25" t="str">
        <x:v>F-627</x:v>
      </x:c>
      <x:c r="E21" s="25" t="str">
        <x:v>龙骨山</x:v>
      </x:c>
      <x:c r="F21" s="25" t="str">
        <x:v>formal</x:v>
      </x:c>
      <x:c r="G21" s="25" t="str">
        <x:v>F-628</x:v>
      </x:c>
      <x:c r="H21" s="25" t="str">
        <x:v>骨岭</x:v>
      </x:c>
      <x:c r="I21" s="25" t="str">
        <x:v>formal</x:v>
      </x:c>
      <x:c r="J21" s="25" t="n">
        <x:v>116.07090072906976</x:v>
      </x:c>
      <x:c r="K21" s="25" t="n">
        <x:v>27.542356691860466</x:v>
      </x:c>
      <x:c r="L21" s="25" t="n">
        <x:v>116.06438687325581</x:v>
      </x:c>
      <x:c r="M21" s="25" t="n">
        <x:v>27.53891380348837</x:v>
      </x:c>
      <x:c r="N21" s="25" t="n">
        <x:v>748</x:v>
      </x:c>
      <x:c r="O21" s="25" t="n">
        <x:v>239.2</x:v>
      </x:c>
      <x:c r="P21" s="27" t="str">
        <x:v>LINESTRING(116.070901 27.542357, 116.064387 27.538914)</x:v>
      </x:c>
      <x:c r="Q21" s="27" t="str">
        <x:v>POLYGON((116.075055 27.536177, 116.068541 27.532734, 116.060232 27.545094, 116.066746 27.548537, 116.075055 27.536177))</x:v>
      </x:c>
      <x:c r="R21" s="25" t="n">
        <x:v>1600</x:v>
      </x:c>
      <x:c r="S21" s="25" t="str">
        <x:v>EPSG:4326</x:v>
      </x:c>
      <x:c r="T21" s="25" t="str">
        <x:v>作者路徑搜尋走廊</x:v>
      </x:c>
      <x:c r="U21" s="25" t="str">
        <x:v>estimated_auxiliary_constrained_corridor</x:v>
      </x:c>
      <x:c r="V21" s="25" t="str">
        <x:v>pending/review</x:v>
      </x:c>
      <x:c r="W21" s="25" t="str">
        <x:v>https://zh.wikisource.org/zh-hans/%E5%BE%90%E9%9C%9E%E5%AE%A2%E9%81%8A%E8%A8%98/%E6%B1%9F%E5%8F%B3%E9%81%8A%E6%97%A5%E8%A8%98</x:v>
      </x:c>
      <x:c r="X21" s="25" t="str">
        <x:v>https://zh.wikisource.org/zh-hans/%E5%BE%90%E9%9C%9E%E5%AE%A2%E9%81%8A%E8%A8%98/%E6%B1%9F%E5%8F%B3%E9%81%8A%E6%97%A5%E8%A8%98</x:v>
      </x:c>
      <x:c r="Y21" s="25" t="str">
        <x:v>https://zh.wikisource.org/zh-hans/%E5%BE%90%E9%9C%9E%E5%AE%A2%E9%81%8A%E8%A8%98/%E6%B1%9F%E5%8F%B3%E9%81%8A%E6%97%A5%E8%A8%98</x:v>
      </x:c>
      <x:c r="Z21" s="25" t="str">
        <x:v>同段 龙骨山→骨岭；輔助節點／原文里數／山脊河谷限制；方向 239.2°</x:v>
      </x:c>
    </x:row>
    <x:row r="22" ht="54" customHeight="1">
      <x:c r="A22" s="25" t="n">
        <x:v>34</x:v>
      </x:c>
      <x:c r="B22" s="25" t="str">
        <x:v>二十三日</x:v>
      </x:c>
      <x:c r="C22" s="25" t="str">
        <x:v>二十三日-B（曹山至朱溪）</x:v>
      </x:c>
      <x:c r="D22" s="25" t="str">
        <x:v>F-628</x:v>
      </x:c>
      <x:c r="E22" s="25" t="str">
        <x:v>骨岭</x:v>
      </x:c>
      <x:c r="F22" s="25" t="str">
        <x:v>formal</x:v>
      </x:c>
      <x:c r="G22" s="25" t="str">
        <x:v>F-629</x:v>
      </x:c>
      <x:c r="H22" s="25" t="str">
        <x:v>幞头岭</x:v>
      </x:c>
      <x:c r="I22" s="25" t="str">
        <x:v>formal</x:v>
      </x:c>
      <x:c r="J22" s="25" t="n">
        <x:v>116.06438687325581</x:v>
      </x:c>
      <x:c r="K22" s="25" t="n">
        <x:v>27.53891380348837</x:v>
      </x:c>
      <x:c r="L22" s="25" t="n">
        <x:v>116.05461608953487</x:v>
      </x:c>
      <x:c r="M22" s="25" t="n">
        <x:v>27.533749470930232</x:v>
      </x:c>
      <x:c r="N22" s="25" t="n">
        <x:v>1122</x:v>
      </x:c>
      <x:c r="O22" s="25" t="n">
        <x:v>239.2</x:v>
      </x:c>
      <x:c r="P22" s="27" t="str">
        <x:v>LINESTRING(116.064387 27.538914, 116.054616 27.533749)</x:v>
      </x:c>
      <x:c r="Q22" s="27" t="str">
        <x:v>POLYGON((116.068541 27.532734, 116.058770 27.527569, 116.050462 27.539930, 116.060232 27.545094, 116.068541 27.532734))</x:v>
      </x:c>
      <x:c r="R22" s="25" t="n">
        <x:v>1600</x:v>
      </x:c>
      <x:c r="S22" s="25" t="str">
        <x:v>EPSG:4326</x:v>
      </x:c>
      <x:c r="T22" s="25" t="str">
        <x:v>作者路徑搜尋走廊</x:v>
      </x:c>
      <x:c r="U22" s="25" t="str">
        <x:v>estimated_auxiliary_constrained_corridor</x:v>
      </x:c>
      <x:c r="V22" s="25" t="str">
        <x:v>pending/review</x:v>
      </x:c>
      <x:c r="W22" s="25" t="str">
        <x:v>https://zh.wikisource.org/zh-hans/%E5%BE%90%E9%9C%9E%E5%AE%A2%E9%81%8A%E8%A8%98/%E6%B1%9F%E5%8F%B3%E9%81%8A%E6%97%A5%E8%A8%98</x:v>
      </x:c>
      <x:c r="X22" s="25" t="str">
        <x:v>https://zh.wikisource.org/zh-hans/%E5%BE%90%E9%9C%9E%E5%AE%A2%E9%81%8A%E8%A8%98/%E6%B1%9F%E5%8F%B3%E9%81%8A%E6%97%A5%E8%A8%98</x:v>
      </x:c>
      <x:c r="Y22" s="25" t="str">
        <x:v>https://zh.wikisource.org/zh-hans/%E5%BE%90%E9%9C%9E%E5%AE%A2%E9%81%8A%E8%A8%98/%E6%B1%9F%E5%8F%B3%E9%81%8A%E6%97%A5%E8%A8%98</x:v>
      </x:c>
      <x:c r="Z22" s="25" t="str">
        <x:v>同段 骨岭→幞头岭；輔助節點／原文里數／山脊河谷限制；方向 239.2°</x:v>
      </x:c>
    </x:row>
    <x:row r="23" ht="54" customHeight="1">
      <x:c r="A23" s="25" t="n">
        <x:v>35</x:v>
      </x:c>
      <x:c r="B23" s="25" t="str">
        <x:v>二十三日</x:v>
      </x:c>
      <x:c r="C23" s="25" t="str">
        <x:v>二十三日-B（曹山至朱溪）</x:v>
      </x:c>
      <x:c r="D23" s="25" t="str">
        <x:v>F-629</x:v>
      </x:c>
      <x:c r="E23" s="25" t="str">
        <x:v>幞头岭</x:v>
      </x:c>
      <x:c r="F23" s="25" t="str">
        <x:v>formal</x:v>
      </x:c>
      <x:c r="G23" s="25" t="str">
        <x:v>F-630</x:v>
      </x:c>
      <x:c r="H23" s="25" t="str">
        <x:v>纯乡</x:v>
      </x:c>
      <x:c r="I23" s="25" t="str">
        <x:v>formal</x:v>
      </x:c>
      <x:c r="J23" s="25" t="n">
        <x:v>116.05461608953487</x:v>
      </x:c>
      <x:c r="K23" s="25" t="n">
        <x:v>27.533749470930232</x:v>
      </x:c>
      <x:c r="L23" s="25" t="n">
        <x:v>116.04158837790698</x:v>
      </x:c>
      <x:c r="M23" s="25" t="n">
        <x:v>27.526863694186048</x:v>
      </x:c>
      <x:c r="N23" s="25" t="n">
        <x:v>1495</x:v>
      </x:c>
      <x:c r="O23" s="25" t="n">
        <x:v>239.2</x:v>
      </x:c>
      <x:c r="P23" s="27" t="str">
        <x:v>LINESTRING(116.054616 27.533749, 116.041588 27.526864)</x:v>
      </x:c>
      <x:c r="Q23" s="27" t="str">
        <x:v>POLYGON((116.058770 27.527569, 116.045742 27.520683, 116.037435 27.533044, 116.050462 27.539930, 116.058770 27.527569))</x:v>
      </x:c>
      <x:c r="R23" s="25" t="n">
        <x:v>1600</x:v>
      </x:c>
      <x:c r="S23" s="25" t="str">
        <x:v>EPSG:4326</x:v>
      </x:c>
      <x:c r="T23" s="25" t="str">
        <x:v>作者路徑搜尋走廊</x:v>
      </x:c>
      <x:c r="U23" s="25" t="str">
        <x:v>estimated_auxiliary_constrained_corridor</x:v>
      </x:c>
      <x:c r="V23" s="25" t="str">
        <x:v>pending/review</x:v>
      </x:c>
      <x:c r="W23" s="25" t="str">
        <x:v>https://zh.wikisource.org/zh-hans/%E5%BE%90%E9%9C%9E%E5%AE%A2%E9%81%8A%E8%A8%98/%E6%B1%9F%E5%8F%B3%E9%81%8A%E6%97%A5%E8%A8%98</x:v>
      </x:c>
      <x:c r="X23" s="25" t="str">
        <x:v>https://zh.wikisource.org/zh-hans/%E5%BE%90%E9%9C%9E%E5%AE%A2%E9%81%8A%E8%A8%98/%E6%B1%9F%E5%8F%B3%E9%81%8A%E6%97%A5%E8%A8%98</x:v>
      </x:c>
      <x:c r="Y23" s="25" t="str">
        <x:v>https://zh.wikisource.org/zh-hans/%E5%BE%90%E9%9C%9E%E5%AE%A2%E9%81%8A%E8%A8%98/%E6%B1%9F%E5%8F%B3%E9%81%8A%E6%97%A5%E8%A8%98</x:v>
      </x:c>
      <x:c r="Z23" s="25" t="str">
        <x:v>同段 幞头岭→纯乡；輔助節點／原文里數／山脊河谷限制；方向 239.2°</x:v>
      </x:c>
    </x:row>
    <x:row r="24" ht="54" customHeight="1">
      <x:c r="A24" s="25" t="n">
        <x:v>36</x:v>
      </x:c>
      <x:c r="B24" s="25" t="str">
        <x:v>二十三日</x:v>
      </x:c>
      <x:c r="C24" s="25" t="str">
        <x:v>二十三日-B（曹山至朱溪）</x:v>
      </x:c>
      <x:c r="D24" s="25" t="str">
        <x:v>F-630</x:v>
      </x:c>
      <x:c r="E24" s="25" t="str">
        <x:v>纯乡</x:v>
      </x:c>
      <x:c r="F24" s="25" t="str">
        <x:v>formal</x:v>
      </x:c>
      <x:c r="G24" s="25" t="str">
        <x:v>F-631</x:v>
      </x:c>
      <x:c r="H24" s="25" t="str">
        <x:v>纯乡村</x:v>
      </x:c>
      <x:c r="I24" s="25" t="str">
        <x:v>formal</x:v>
      </x:c>
      <x:c r="J24" s="25" t="n">
        <x:v>116.04158837790698</x:v>
      </x:c>
      <x:c r="K24" s="25" t="n">
        <x:v>27.526863694186048</x:v>
      </x:c>
      <x:c r="L24" s="25" t="n">
        <x:v>116.04093699232557</x:v>
      </x:c>
      <x:c r="M24" s="25" t="n">
        <x:v>27.526519405348836</x:v>
      </x:c>
      <x:c r="N24" s="25" t="n">
        <x:v>75</x:v>
      </x:c>
      <x:c r="O24" s="25" t="n">
        <x:v>239.2</x:v>
      </x:c>
      <x:c r="P24" s="27" t="str">
        <x:v>LINESTRING(116.041588 27.526864, 116.040937 27.526519)</x:v>
      </x:c>
      <x:c r="Q24" s="27" t="str">
        <x:v>POLYGON((116.045742 27.520684, 116.045090 27.520339, 116.036783 27.532699, 116.037434 27.533044, 116.045742 27.520684))</x:v>
      </x:c>
      <x:c r="R24" s="25" t="n">
        <x:v>1600</x:v>
      </x:c>
      <x:c r="S24" s="25" t="str">
        <x:v>EPSG:4326</x:v>
      </x:c>
      <x:c r="T24" s="25" t="str">
        <x:v>作者路徑搜尋走廊</x:v>
      </x:c>
      <x:c r="U24" s="25" t="str">
        <x:v>estimated_auxiliary_constrained_corridor</x:v>
      </x:c>
      <x:c r="V24" s="25" t="str">
        <x:v>pending/review</x:v>
      </x:c>
      <x:c r="W24" s="25" t="str">
        <x:v>https://zh.wikisource.org/zh-hans/%E5%BE%90%E9%9C%9E%E5%AE%A2%E9%81%8A%E8%A8%98/%E6%B1%9F%E5%8F%B3%E9%81%8A%E6%97%A5%E8%A8%98</x:v>
      </x:c>
      <x:c r="X24" s="25" t="str">
        <x:v>https://zh.wikisource.org/zh-hans/%E5%BE%90%E9%9C%9E%E5%AE%A2%E9%81%8A%E8%A8%98/%E6%B1%9F%E5%8F%B3%E9%81%8A%E6%97%A5%E8%A8%98</x:v>
      </x:c>
      <x:c r="Y24" s="25" t="str">
        <x:v>https://zh.wikisource.org/zh-hans/%E5%BE%90%E9%9C%9E%E5%AE%A2%E9%81%8A%E8%A8%98/%E6%B1%9F%E5%8F%B3%E9%81%8A%E6%97%A5%E8%A8%98</x:v>
      </x:c>
      <x:c r="Z24" s="25" t="str">
        <x:v>同段 纯乡→纯乡村；輔助節點／原文里數／山脊河谷限制；方向 239.2°</x:v>
      </x:c>
    </x:row>
    <x:row r="25" ht="54" customHeight="1">
      <x:c r="A25" s="25" t="n">
        <x:v>37</x:v>
      </x:c>
      <x:c r="B25" s="25" t="str">
        <x:v>二十三日</x:v>
      </x:c>
      <x:c r="C25" s="25" t="str">
        <x:v>二十三日-B（曹山至朱溪）</x:v>
      </x:c>
      <x:c r="D25" s="25" t="str">
        <x:v>F-631</x:v>
      </x:c>
      <x:c r="E25" s="25" t="str">
        <x:v>纯乡村</x:v>
      </x:c>
      <x:c r="F25" s="25" t="str">
        <x:v>formal</x:v>
      </x:c>
      <x:c r="G25" s="25" t="str">
        <x:v>23B-07</x:v>
      </x:c>
      <x:c r="H25" s="25" t="str">
        <x:v>純鄉溪</x:v>
      </x:c>
      <x:c r="I25" s="25" t="str">
        <x:v>aux</x:v>
      </x:c>
      <x:c r="J25" s="25" t="n">
        <x:v>116.04093699232557</x:v>
      </x:c>
      <x:c r="K25" s="25" t="n">
        <x:v>27.526519405348836</x:v>
      </x:c>
      <x:c r="L25" s="25" t="n">
        <x:v>116.04158837790698</x:v>
      </x:c>
      <x:c r="M25" s="25" t="n">
        <x:v>27.526863694186048</x:v>
      </x:c>
      <x:c r="N25" s="25" t="n">
        <x:v>75</x:v>
      </x:c>
      <x:c r="O25" s="25" t="n">
        <x:v>59.2</x:v>
      </x:c>
      <x:c r="P25" s="27" t="str">
        <x:v>LINESTRING(116.040937 27.526519, 116.041588 27.526864)</x:v>
      </x:c>
      <x:c r="Q25" s="27" t="str">
        <x:v>POLYGON((116.036783 27.532699, 116.037434 27.533044, 116.045742 27.520684, 116.045090 27.520339, 116.036783 27.532699))</x:v>
      </x:c>
      <x:c r="R25" s="25" t="n">
        <x:v>1600</x:v>
      </x:c>
      <x:c r="S25" s="25" t="str">
        <x:v>EPSG:4326</x:v>
      </x:c>
      <x:c r="T25" s="25" t="str">
        <x:v>作者路徑搜尋走廊</x:v>
      </x:c>
      <x:c r="U25" s="25" t="str">
        <x:v>estimated_auxiliary_constrained_corridor</x:v>
      </x:c>
      <x:c r="V25" s="25" t="str">
        <x:v>pending/review</x:v>
      </x:c>
      <x:c r="W25" s="25" t="str">
        <x:v>https://zh.wikisource.org/zh-hans/%E5%BE%90%E9%9C%9E%E5%AE%A2%E9%81%8A%E8%A8%98/%E6%B1%9F%E5%8F%B3%E9%81%8A%E6%97%A5%E8%A8%98</x:v>
      </x:c>
      <x:c r="X25" s="25" t="str">
        <x:v>https://zh.wikisource.org/zh-hans/%E5%BE%90%E9%9C%9E%E5%AE%A2%E9%81%8A%E8%A8%98/%E6%B1%9F%E5%8F%B3%E9%81%8A%E6%97%A5%E8%A8%98</x:v>
      </x:c>
      <x:c r="Y25" s="25" t="str">
        <x:v>https://zh.wikisource.org/zh-hans/%E5%BE%90%E9%9C%9E%E5%AE%A2%E9%81%8A%E8%A8%98/%E6%B1%9F%E5%8F%B3%E9%81%8A%E6%97%A5%E8%A8%98</x:v>
      </x:c>
      <x:c r="Z25" s="25" t="str">
        <x:v>同段 纯乡村→純鄉溪；輔助節點／原文里數／山脊河谷限制；方向 59.2°</x:v>
      </x:c>
    </x:row>
    <x:row r="26" ht="54" customHeight="1">
      <x:c r="A26" s="25" t="n">
        <x:v>38</x:v>
      </x:c>
      <x:c r="B26" s="25" t="str">
        <x:v>二十三日</x:v>
      </x:c>
      <x:c r="C26" s="25" t="str">
        <x:v>二十三日-B（曹山至朱溪）</x:v>
      </x:c>
      <x:c r="D26" s="25" t="str">
        <x:v>23B-07</x:v>
      </x:c>
      <x:c r="E26" s="25" t="str">
        <x:v>純鄉溪</x:v>
      </x:c>
      <x:c r="F26" s="25" t="str">
        <x:v>aux</x:v>
      </x:c>
      <x:c r="G26" s="25" t="str">
        <x:v>F-633</x:v>
      </x:c>
      <x:c r="H26" s="25" t="str">
        <x:v>干冈岭</x:v>
      </x:c>
      <x:c r="I26" s="25" t="str">
        <x:v>formal</x:v>
      </x:c>
      <x:c r="J26" s="25" t="n">
        <x:v>116.04158837790698</x:v>
      </x:c>
      <x:c r="K26" s="25" t="n">
        <x:v>27.526863694186048</x:v>
      </x:c>
      <x:c r="L26" s="25" t="n">
        <x:v>116.03507452209301</x:v>
      </x:c>
      <x:c r="M26" s="25" t="n">
        <x:v>27.523420805813952</x:v>
      </x:c>
      <x:c r="N26" s="25" t="n">
        <x:v>748</x:v>
      </x:c>
      <x:c r="O26" s="25" t="n">
        <x:v>239.2</x:v>
      </x:c>
      <x:c r="P26" s="27" t="str">
        <x:v>LINESTRING(116.041588 27.526864, 116.035075 27.523421)</x:v>
      </x:c>
      <x:c r="Q26" s="27" t="str">
        <x:v>POLYGON((116.045871 27.520490, 116.039357 27.517047, 116.030791 27.529794, 116.037305 27.533237, 116.045871 27.520490))</x:v>
      </x:c>
      <x:c r="R26" s="25" t="n">
        <x:v>1650</x:v>
      </x:c>
      <x:c r="S26" s="25" t="str">
        <x:v>EPSG:4326</x:v>
      </x:c>
      <x:c r="T26" s="25" t="str">
        <x:v>作者路徑搜尋走廊</x:v>
      </x:c>
      <x:c r="U26" s="25" t="str">
        <x:v>estimated_auxiliary_constrained_corridor</x:v>
      </x:c>
      <x:c r="V26" s="25" t="str">
        <x:v>pending/review</x:v>
      </x:c>
      <x:c r="W26" s="25" t="str">
        <x:v>https://zh.wikisource.org/zh-hans/%E5%BE%90%E9%9C%9E%E5%AE%A2%E9%81%8A%E8%A8%98/%E6%B1%9F%E5%8F%B3%E9%81%8A%E6%97%A5%E8%A8%98</x:v>
      </x:c>
      <x:c r="X26" s="25" t="str">
        <x:v>https://zh.wikisource.org/zh-hans/%E5%BE%90%E9%9C%9E%E5%AE%A2%E9%81%8A%E8%A8%98/%E6%B1%9F%E5%8F%B3%E9%81%8A%E6%97%A5%E8%A8%98</x:v>
      </x:c>
      <x:c r="Y26" s="25" t="str">
        <x:v>https://zh.wikisource.org/zh-hans/%E5%BE%90%E9%9C%9E%E5%AE%A2%E9%81%8A%E8%A8%98/%E6%B1%9F%E5%8F%B3%E9%81%8A%E6%97%A5%E8%A8%98</x:v>
      </x:c>
      <x:c r="Z26" s="25" t="str">
        <x:v>同段 純鄉溪→干冈岭；輔助節點／原文里數／山脊河谷限制；方向 239.2°</x:v>
      </x:c>
    </x:row>
    <x:row r="27" ht="54" customHeight="1">
      <x:c r="A27" s="25" t="n">
        <x:v>39</x:v>
      </x:c>
      <x:c r="B27" s="25" t="str">
        <x:v>二十三日</x:v>
      </x:c>
      <x:c r="C27" s="25" t="str">
        <x:v>二十三日-B（曹山至朱溪）</x:v>
      </x:c>
      <x:c r="D27" s="25" t="str">
        <x:v>F-633</x:v>
      </x:c>
      <x:c r="E27" s="25" t="str">
        <x:v>干冈岭</x:v>
      </x:c>
      <x:c r="F27" s="25" t="str">
        <x:v>formal</x:v>
      </x:c>
      <x:c r="G27" s="25" t="str">
        <x:v>23B-05</x:v>
      </x:c>
      <x:c r="H27" s="25" t="str">
        <x:v>廖庄橋</x:v>
      </x:c>
      <x:c r="I27" s="25" t="str">
        <x:v>aux</x:v>
      </x:c>
      <x:c r="J27" s="25" t="n">
        <x:v>116.03507452209301</x:v>
      </x:c>
      <x:c r="K27" s="25" t="n">
        <x:v>27.523420805813952</x:v>
      </x:c>
      <x:c r="L27" s="25" t="n">
        <x:v>116.00250524302325</x:v>
      </x:c>
      <x:c r="M27" s="25" t="n">
        <x:v>27.50620636395349</x:v>
      </x:c>
      <x:c r="N27" s="25" t="n">
        <x:v>3739</x:v>
      </x:c>
      <x:c r="O27" s="25" t="n">
        <x:v>239.2</x:v>
      </x:c>
      <x:c r="P27" s="27" t="str">
        <x:v>LINESTRING(116.035075 27.523421, 116.002505 27.506206)</x:v>
      </x:c>
      <x:c r="Q27" s="27" t="str">
        <x:v>POLYGON((116.039356 27.517047, 116.006786 27.499832, 115.998224 27.512580, 116.030792 27.529795, 116.039356 27.517047))</x:v>
      </x:c>
      <x:c r="R27" s="25" t="n">
        <x:v>1650</x:v>
      </x:c>
      <x:c r="S27" s="25" t="str">
        <x:v>EPSG:4326</x:v>
      </x:c>
      <x:c r="T27" s="25" t="str">
        <x:v>作者路徑搜尋走廊</x:v>
      </x:c>
      <x:c r="U27" s="25" t="str">
        <x:v>estimated_auxiliary_constrained_corridor</x:v>
      </x:c>
      <x:c r="V27" s="25" t="str">
        <x:v>pending/review</x:v>
      </x:c>
      <x:c r="W27" s="25" t="str">
        <x:v>https://zh.wikisource.org/zh-hans/%E5%BE%90%E9%9C%9E%E5%AE%A2%E9%81%8A%E8%A8%98/%E6%B1%9F%E5%8F%B3%E9%81%8A%E6%97%A5%E8%A8%98</x:v>
      </x:c>
      <x:c r="X27" s="25" t="str">
        <x:v>https://zh.wikisource.org/zh-hans/%E5%BE%90%E9%9C%9E%E5%AE%A2%E9%81%8A%E8%A8%98/%E6%B1%9F%E5%8F%B3%E9%81%8A%E6%97%A5%E8%A8%98</x:v>
      </x:c>
      <x:c r="Y27" s="25" t="str">
        <x:v>https://zh.wikisource.org/zh-hans/%E5%BE%90%E9%9C%9E%E5%AE%A2%E9%81%8A%E8%A8%98/%E6%B1%9F%E5%8F%B3%E9%81%8A%E6%97%A5%E8%A8%98</x:v>
      </x:c>
      <x:c r="Z27" s="25" t="str">
        <x:v>同段 干冈岭→廖庄橋；輔助節點／原文里數／山脊河谷限制；方向 239.2°</x:v>
      </x:c>
    </x:row>
    <x:row r="28" ht="54" customHeight="1">
      <x:c r="A28" s="25" t="n">
        <x:v>40</x:v>
      </x:c>
      <x:c r="B28" s="25" t="str">
        <x:v>二十三日</x:v>
      </x:c>
      <x:c r="C28" s="25" t="str">
        <x:v>二十三日-B（曹山至朱溪）</x:v>
      </x:c>
      <x:c r="D28" s="25" t="str">
        <x:v>23B-05</x:v>
      </x:c>
      <x:c r="E28" s="25" t="str">
        <x:v>廖庄橋</x:v>
      </x:c>
      <x:c r="F28" s="25" t="str">
        <x:v>aux</x:v>
      </x:c>
      <x:c r="G28" s="25" t="str">
        <x:v>23B-06</x:v>
      </x:c>
      <x:c r="H28" s="25" t="str">
        <x:v>練樹橋</x:v>
      </x:c>
      <x:c r="I28" s="25" t="str">
        <x:v>aux</x:v>
      </x:c>
      <x:c r="J28" s="25" t="n">
        <x:v>116.00250524302325</x:v>
      </x:c>
      <x:c r="K28" s="25" t="n">
        <x:v>27.50620636395349</x:v>
      </x:c>
      <x:c r="L28" s="25" t="n">
        <x:v>115.98622060348836</x:v>
      </x:c>
      <x:c r="M28" s="25" t="n">
        <x:v>27.49759914302326</x:v>
      </x:c>
      <x:c r="N28" s="25" t="n">
        <x:v>1870</x:v>
      </x:c>
      <x:c r="O28" s="25" t="n">
        <x:v>239.2</x:v>
      </x:c>
      <x:c r="P28" s="27" t="str">
        <x:v>LINESTRING(116.002505 27.506206, 115.986221 27.497599)</x:v>
      </x:c>
      <x:c r="Q28" s="27" t="str">
        <x:v>POLYGON((116.006657 27.500026, 115.990372 27.491418, 115.982069 27.503780, 115.998353 27.512387, 116.006657 27.500026))</x:v>
      </x:c>
      <x:c r="R28" s="25" t="n">
        <x:v>1600</x:v>
      </x:c>
      <x:c r="S28" s="25" t="str">
        <x:v>EPSG:4326</x:v>
      </x:c>
      <x:c r="T28" s="25" t="str">
        <x:v>作者路徑搜尋走廊</x:v>
      </x:c>
      <x:c r="U28" s="25" t="str">
        <x:v>estimated_auxiliary_constrained_corridor</x:v>
      </x:c>
      <x:c r="V28" s="25" t="str">
        <x:v>pending/review</x:v>
      </x:c>
      <x:c r="W28" s="25" t="str">
        <x:v>https://zh.wikisource.org/zh-hans/%E5%BE%90%E9%9C%9E%E5%AE%A2%E9%81%8A%E8%A8%98/%E6%B1%9F%E5%8F%B3%E9%81%8A%E6%97%A5%E8%A8%98</x:v>
      </x:c>
      <x:c r="X28" s="25" t="str">
        <x:v>https://zh.wikisource.org/zh-hans/%E5%BE%90%E9%9C%9E%E5%AE%A2%E9%81%8A%E8%A8%98/%E6%B1%9F%E5%8F%B3%E9%81%8A%E6%97%A5%E8%A8%98</x:v>
      </x:c>
      <x:c r="Y28" s="25" t="str">
        <x:v>https://zh.wikisource.org/zh-hans/%E5%BE%90%E9%9C%9E%E5%AE%A2%E9%81%8A%E8%A8%98/%E6%B1%9F%E5%8F%B3%E9%81%8A%E6%97%A5%E8%A8%98</x:v>
      </x:c>
      <x:c r="Z28" s="25" t="str">
        <x:v>同段 廖庄橋→練樹橋；輔助節點／原文里數／山脊河谷限制；方向 239.2°</x:v>
      </x:c>
    </x:row>
    <x:row r="29" ht="54" customHeight="1">
      <x:c r="A29" s="25" t="n">
        <x:v>41</x:v>
      </x:c>
      <x:c r="B29" s="25" t="str">
        <x:v>二十三日</x:v>
      </x:c>
      <x:c r="C29" s="25" t="str">
        <x:v>二十三日-B（曹山至朱溪）</x:v>
      </x:c>
      <x:c r="D29" s="25" t="str">
        <x:v>23B-06</x:v>
      </x:c>
      <x:c r="E29" s="25" t="str">
        <x:v>練樹橋</x:v>
      </x:c>
      <x:c r="F29" s="25" t="str">
        <x:v>aux</x:v>
      </x:c>
      <x:c r="G29" s="25" t="str">
        <x:v>F-636</x:v>
      </x:c>
      <x:c r="H29" s="25" t="str">
        <x:v>巴溪</x:v>
      </x:c>
      <x:c r="I29" s="25" t="str">
        <x:v>formal</x:v>
      </x:c>
      <x:c r="J29" s="25" t="n">
        <x:v>115.98622060348836</x:v>
      </x:c>
      <x:c r="K29" s="25" t="n">
        <x:v>27.49759914302326</x:v>
      </x:c>
      <x:c r="L29" s="25" t="n">
        <x:v>115.98622060348836</x:v>
      </x:c>
      <x:c r="M29" s="25" t="n">
        <x:v>27.49759914302326</x:v>
      </x:c>
      <x:c r="N29" s="25" t="n">
        <x:v>0</x:v>
      </x:c>
      <x:c r="O29" s="25" t="n">
        <x:v>0</x:v>
      </x:c>
      <x:c r="P29" s="27" t="str">
        <x:v>LINESTRING(115.986221 27.497599, 115.986221 27.497599)</x:v>
      </x:c>
      <x:c r="Q29" s="27" t="str">
        <x:v>POLYGON((115.977603 27.497599, 115.977603 27.497599, 115.994838 27.497599, 115.994838 27.497599, 115.977603 27.497599))</x:v>
      </x:c>
      <x:c r="R29" s="25" t="n">
        <x:v>1700</x:v>
      </x:c>
      <x:c r="S29" s="25" t="str">
        <x:v>EPSG:4326</x:v>
      </x:c>
      <x:c r="T29" s="25" t="str">
        <x:v>作者路徑搜尋走廊</x:v>
      </x:c>
      <x:c r="U29" s="25" t="str">
        <x:v>estimated_auxiliary_constrained_corridor</x:v>
      </x:c>
      <x:c r="V29" s="25" t="str">
        <x:v>pending/review</x:v>
      </x:c>
      <x:c r="W29" s="25" t="str">
        <x:v>https://zh.wikisource.org/zh-hans/%E5%BE%90%E9%9C%9E%E5%AE%A2%E9%81%8A%E8%A8%98/%E6%B1%9F%E5%8F%B3%E9%81%8A%E6%97%A5%E8%A8%98</x:v>
      </x:c>
      <x:c r="X29" s="25" t="str">
        <x:v>https://zh.wikisource.org/zh-hans/%E5%BE%90%E9%9C%9E%E5%AE%A2%E9%81%8A%E8%A8%98/%E6%B1%9F%E5%8F%B3%E9%81%8A%E6%97%A5%E8%A8%98</x:v>
      </x:c>
      <x:c r="Y29" s="25" t="str">
        <x:v>https://zh.wikisource.org/zh-hans/%E5%BE%90%E9%9C%9E%E5%AE%A2%E9%81%8A%E8%A8%98/%E6%B1%9F%E5%8F%B3%E9%81%8A%E6%97%A5%E8%A8%98</x:v>
      </x:c>
      <x:c r="Z29" s="25" t="str">
        <x:v>同段 練樹橋→巴溪；輔助節點／原文里數／山脊河谷限制；方向 0.0°</x:v>
      </x:c>
    </x:row>
    <x:row r="30" ht="54" customHeight="1">
      <x:c r="A30" s="25" t="n">
        <x:v>42</x:v>
      </x:c>
      <x:c r="B30" s="25" t="str">
        <x:v>二十三日</x:v>
      </x:c>
      <x:c r="C30" s="25" t="str">
        <x:v>二十三日-B（曹山至朱溪）</x:v>
      </x:c>
      <x:c r="D30" s="25" t="str">
        <x:v>F-636</x:v>
      </x:c>
      <x:c r="E30" s="25" t="str">
        <x:v>巴溪</x:v>
      </x:c>
      <x:c r="F30" s="25" t="str">
        <x:v>formal</x:v>
      </x:c>
      <x:c r="G30" s="25" t="str">
        <x:v>23B-08</x:v>
      </x:c>
      <x:c r="H30" s="25" t="str">
        <x:v>小巴溪／大巴溪水系</x:v>
      </x:c>
      <x:c r="I30" s="25" t="str">
        <x:v>aux</x:v>
      </x:c>
      <x:c r="J30" s="25" t="n">
        <x:v>115.98622060348836</x:v>
      </x:c>
      <x:c r="K30" s="25" t="n">
        <x:v>27.49759914302326</x:v>
      </x:c>
      <x:c r="L30" s="25" t="n">
        <x:v>115.98133521162791</x:v>
      </x:c>
      <x:c r="M30" s="25" t="n">
        <x:v>27.495016976744186</x:v>
      </x:c>
      <x:c r="N30" s="25" t="n">
        <x:v>561</x:v>
      </x:c>
      <x:c r="O30" s="25" t="n">
        <x:v>239.2</x:v>
      </x:c>
      <x:c r="P30" s="27" t="str">
        <x:v>LINESTRING(115.986221 27.497599, 115.981335 27.495017)</x:v>
      </x:c>
      <x:c r="Q30" s="27" t="str">
        <x:v>POLYGON((115.990631 27.491032, 115.985746 27.488450, 115.976924 27.501584, 115.981809 27.504166, 115.990631 27.491032))</x:v>
      </x:c>
      <x:c r="R30" s="25" t="n">
        <x:v>1700</x:v>
      </x:c>
      <x:c r="S30" s="25" t="str">
        <x:v>EPSG:4326</x:v>
      </x:c>
      <x:c r="T30" s="25" t="str">
        <x:v>作者路徑搜尋走廊</x:v>
      </x:c>
      <x:c r="U30" s="25" t="str">
        <x:v>estimated_auxiliary_constrained_corridor</x:v>
      </x:c>
      <x:c r="V30" s="25" t="str">
        <x:v>pending/review</x:v>
      </x:c>
      <x:c r="W30" s="25" t="str">
        <x:v>https://zh.wikisource.org/zh-hans/%E5%BE%90%E9%9C%9E%E5%AE%A2%E9%81%8A%E8%A8%98/%E6%B1%9F%E5%8F%B3%E9%81%8A%E6%97%A5%E8%A8%98</x:v>
      </x:c>
      <x:c r="X30" s="25" t="str">
        <x:v>https://zh.wikisource.org/zh-hans/%E5%BE%90%E9%9C%9E%E5%AE%A2%E9%81%8A%E8%A8%98/%E6%B1%9F%E5%8F%B3%E9%81%8A%E6%97%A5%E8%A8%98</x:v>
      </x:c>
      <x:c r="Y30" s="25" t="str">
        <x:v>https://zh.wikisource.org/zh-hans/%E5%BE%90%E9%9C%9E%E5%AE%A2%E9%81%8A%E8%A8%98/%E6%B1%9F%E5%8F%B3%E9%81%8A%E6%97%A5%E8%A8%98</x:v>
      </x:c>
      <x:c r="Z30" s="25" t="str">
        <x:v>同段 巴溪→小巴溪／大巴溪水系；輔助節點／原文里數／山脊河谷限制；方向 239.2°</x:v>
      </x:c>
    </x:row>
    <x:row r="31" ht="54" customHeight="1">
      <x:c r="A31" s="25" t="n">
        <x:v>43</x:v>
      </x:c>
      <x:c r="B31" s="25" t="str">
        <x:v>二十三日</x:v>
      </x:c>
      <x:c r="C31" s="25" t="str">
        <x:v>二十三日-B（曹山至朱溪）</x:v>
      </x:c>
      <x:c r="D31" s="25" t="str">
        <x:v>23B-08</x:v>
      </x:c>
      <x:c r="E31" s="25" t="str">
        <x:v>小巴溪／大巴溪水系</x:v>
      </x:c>
      <x:c r="F31" s="25" t="str">
        <x:v>aux</x:v>
      </x:c>
      <x:c r="G31" s="25" t="str">
        <x:v>23B-09</x:v>
      </x:c>
      <x:c r="H31" s="25" t="str">
        <x:v>罕浒</x:v>
      </x:c>
      <x:c r="I31" s="25" t="str">
        <x:v>aux</x:v>
      </x:c>
      <x:c r="J31" s="25" t="n">
        <x:v>115.98133521162791</x:v>
      </x:c>
      <x:c r="K31" s="25" t="n">
        <x:v>27.495016976744186</x:v>
      </x:c>
      <x:c r="L31" s="25" t="n">
        <x:v>115.97970674767441</x:v>
      </x:c>
      <x:c r="M31" s="25" t="n">
        <x:v>27.494156254651163</x:v>
      </x:c>
      <x:c r="N31" s="25" t="n">
        <x:v>187</x:v>
      </x:c>
      <x:c r="O31" s="25" t="n">
        <x:v>239.2</x:v>
      </x:c>
      <x:c r="P31" s="27" t="str">
        <x:v>LINESTRING(115.981335 27.495017, 115.979707 27.494156)</x:v>
      </x:c>
      <x:c r="Q31" s="27" t="str">
        <x:v>POLYGON((115.985487 27.488836, 115.983858 27.487976, 115.975555 27.500337, 115.977183 27.501198, 115.985487 27.488836))</x:v>
      </x:c>
      <x:c r="R31" s="25" t="n">
        <x:v>1600</x:v>
      </x:c>
      <x:c r="S31" s="25" t="str">
        <x:v>EPSG:4326</x:v>
      </x:c>
      <x:c r="T31" s="25" t="str">
        <x:v>作者路徑搜尋走廊</x:v>
      </x:c>
      <x:c r="U31" s="25" t="str">
        <x:v>estimated_auxiliary_constrained_corridor</x:v>
      </x:c>
      <x:c r="V31" s="25" t="str">
        <x:v>pending/review</x:v>
      </x:c>
      <x:c r="W31" s="25" t="str">
        <x:v>https://zh.wikisource.org/zh-hans/%E5%BE%90%E9%9C%9E%E5%AE%A2%E9%81%8A%E8%A8%98/%E6%B1%9F%E5%8F%B3%E9%81%8A%E6%97%A5%E8%A8%98</x:v>
      </x:c>
      <x:c r="X31" s="25" t="str">
        <x:v>https://zh.wikisource.org/zh-hans/%E5%BE%90%E9%9C%9E%E5%AE%A2%E9%81%8A%E8%A8%98/%E6%B1%9F%E5%8F%B3%E9%81%8A%E6%97%A5%E8%A8%98</x:v>
      </x:c>
      <x:c r="Y31" s="25" t="str">
        <x:v>https://zh.wikisource.org/zh-hans/%E5%BE%90%E9%9C%9E%E5%AE%A2%E9%81%8A%E8%A8%98/%E6%B1%9F%E5%8F%B3%E9%81%8A%E6%97%A5%E8%A8%98</x:v>
      </x:c>
      <x:c r="Z31" s="25" t="str">
        <x:v>同段 小巴溪／大巴溪水系→罕浒；輔助節點／原文里數／山脊河谷限制；方向 239.2°</x:v>
      </x:c>
    </x:row>
    <x:row r="32" ht="54" customHeight="1">
      <x:c r="A32" s="25" t="n">
        <x:v>44</x:v>
      </x:c>
      <x:c r="B32" s="25" t="str">
        <x:v>二十三日</x:v>
      </x:c>
      <x:c r="C32" s="25" t="str">
        <x:v>二十三日-B（曹山至朱溪）</x:v>
      </x:c>
      <x:c r="D32" s="25" t="str">
        <x:v>23B-09</x:v>
      </x:c>
      <x:c r="E32" s="25" t="str">
        <x:v>罕浒</x:v>
      </x:c>
      <x:c r="F32" s="25" t="str">
        <x:v>aux</x:v>
      </x:c>
      <x:c r="G32" s="25" t="str">
        <x:v>F-650</x:v>
      </x:c>
      <x:c r="H32" s="25" t="str">
        <x:v>朱碧街</x:v>
      </x:c>
      <x:c r="I32" s="25" t="str">
        <x:v>formal</x:v>
      </x:c>
      <x:c r="J32" s="25" t="n">
        <x:v>115.97970674767441</x:v>
      </x:c>
      <x:c r="K32" s="25" t="n">
        <x:v>27.494156254651163</x:v>
      </x:c>
      <x:c r="L32" s="25" t="n">
        <x:v>115.9683075</x:v>
      </x:c>
      <x:c r="M32" s="25" t="n">
        <x:v>27.4881312</x:v>
      </x:c>
      <x:c r="N32" s="25" t="n">
        <x:v>1309</x:v>
      </x:c>
      <x:c r="O32" s="25" t="n">
        <x:v>239.2</x:v>
      </x:c>
      <x:c r="P32" s="27" t="str">
        <x:v>LINESTRING(115.979707 27.494156, 115.968307 27.488131)</x:v>
      </x:c>
      <x:c r="Q32" s="27" t="str">
        <x:v>POLYGON((115.983339 27.488748, 115.971939 27.482723, 115.964675 27.493539, 115.976074 27.499564, 115.983339 27.488748))</x:v>
      </x:c>
      <x:c r="R32" s="25" t="n">
        <x:v>1400</x:v>
      </x:c>
      <x:c r="S32" s="25" t="str">
        <x:v>EPSG:4326</x:v>
      </x:c>
      <x:c r="T32" s="25" t="str">
        <x:v>作者路徑搜尋走廊</x:v>
      </x:c>
      <x:c r="U32" s="25" t="str">
        <x:v>estimated_auxiliary_constrained_corridor</x:v>
      </x:c>
      <x:c r="V32" s="25" t="str">
        <x:v>pending/review</x:v>
      </x:c>
      <x:c r="W32" s="25" t="str">
        <x:v>https://zh.wikisource.org/zh-hans/%E5%BE%90%E9%9C%9E%E5%AE%A2%E9%81%8A%E8%A8%98/%E6%B1%9F%E5%8F%B3%E9%81%8A%E6%97%A5%E8%A8%98</x:v>
      </x:c>
      <x:c r="X32" s="25" t="str">
        <x:v>https://zh.wikisource.org/zh-hans/%E5%BE%90%E9%9C%9E%E5%AE%A2%E9%81%8A%E8%A8%98/%E6%B1%9F%E5%8F%B3%E9%81%8A%E6%97%A5%E8%A8%98</x:v>
      </x:c>
      <x:c r="Y32" s="25" t="str">
        <x:v>https://www.openstreetmap.org/node/8857634831</x:v>
      </x:c>
      <x:c r="Z32" s="25" t="str">
        <x:v>同段 罕浒→朱碧街；輔助節點／原文里數／山脊河谷限制；方向 239.2°</x:v>
      </x:c>
    </x:row>
    <x:row r="33" ht="54" customHeight="1">
      <x:c r="A33" s="26" t="n">
        <x:v>45</x:v>
      </x:c>
      <x:c r="B33" s="26" t="str">
        <x:v>二十三日</x:v>
      </x:c>
      <x:c r="C33" s="26" t="str">
        <x:v>二十三日-B（曹山至朱溪）</x:v>
      </x:c>
      <x:c r="D33" s="26" t="str">
        <x:v>F-650</x:v>
      </x:c>
      <x:c r="E33" s="26" t="str">
        <x:v>朱碧街</x:v>
      </x:c>
      <x:c r="F33" s="26" t="str">
        <x:v>formal</x:v>
      </x:c>
      <x:c r="G33" s="26" t="str">
        <x:v>23B-10</x:v>
      </x:c>
      <x:c r="H33" s="26" t="str">
        <x:v>朱溪（朱碧街可能今名）</x:v>
      </x:c>
      <x:c r="I33" s="26" t="str">
        <x:v>aux</x:v>
      </x:c>
      <x:c r="J33" s="26" t="n">
        <x:v>115.9683075</x:v>
      </x:c>
      <x:c r="K33" s="26" t="n">
        <x:v>27.4881312</x:v>
      </x:c>
      <x:c r="L33" s="26" t="n">
        <x:v>115.9683075</x:v>
      </x:c>
      <x:c r="M33" s="26" t="n">
        <x:v>27.4881312</x:v>
      </x:c>
      <x:c r="N33" s="26" t="n">
        <x:v>0</x:v>
      </x:c>
      <x:c r="O33" s="26" t="n">
        <x:v>0</x:v>
      </x:c>
      <x:c r="P33" s="28" t="str">
        <x:v>LINESTRING(115.968307 27.488131, 115.968307 27.488131)</x:v>
      </x:c>
      <x:c r="Q33" s="28" t="str">
        <x:v>POLYGON((115.961211 27.488131, 115.961211 27.488131, 115.975404 27.488131, 115.975404 27.488131, 115.961211 27.488131))</x:v>
      </x:c>
      <x:c r="R33" s="26" t="n">
        <x:v>1400</x:v>
      </x:c>
      <x:c r="S33" s="26" t="str">
        <x:v>EPSG:4326</x:v>
      </x:c>
      <x:c r="T33" s="26" t="str">
        <x:v>作者路徑搜尋走廊</x:v>
      </x:c>
      <x:c r="U33" s="26" t="str">
        <x:v>estimated_auxiliary_constrained_corridor</x:v>
      </x:c>
      <x:c r="V33" s="26" t="str">
        <x:v>pending/review</x:v>
      </x:c>
      <x:c r="W33" s="26" t="str">
        <x:v>https://zh.wikisource.org/zh-hans/%E5%BE%90%E9%9C%9E%E5%AE%A2%E9%81%8A%E8%A8%98/%E6%B1%9F%E5%8F%B3%E9%81%8A%E6%97%A5%E8%A8%98</x:v>
      </x:c>
      <x:c r="X33" s="26" t="str">
        <x:v>https://www.openstreetmap.org/node/8857634831</x:v>
      </x:c>
      <x:c r="Y33" s="26" t="str">
        <x:v>https://www.openstreetmap.org/node/8857634831</x:v>
      </x:c>
      <x:c r="Z33" s="26" t="str">
        <x:v>同段 朱碧街→朱溪（朱碧街可能今名）；輔助節點／原文里數／山脊河谷限制；方向 0.0°</x:v>
      </x:c>
    </x:row>
  </x:sheetData>
  <x:mergeCells>
    <x:mergeCell ref="A1:Z1"/>
    <x:mergeCell ref="A2:Z2"/>
    <x:mergeCell ref="A3:Z3"/>
    <x:mergeCell ref="A4:Z4"/>
    <x:mergeCell ref="A5:Z5"/>
  </x:mergeCells>
  <x:pageMargins left="0.7" right="0.7" top="0.75" bottom="0.75" header="0.3" footer="0.3"/>
  <x:tableParts count="1">
    <x:tablePart xmlns:r="http://schemas.openxmlformats.org/officeDocument/2006/relationships" r:id="R63fffdc979324b96"/>
  </x:tableParts>
</x:worksheet>
</file>